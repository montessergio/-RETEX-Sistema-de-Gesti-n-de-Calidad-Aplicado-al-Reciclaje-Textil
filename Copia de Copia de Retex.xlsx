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91CC052-260A-47B5-A526-05E102B28C2F}" xr6:coauthVersionLast="37" xr6:coauthVersionMax="37" xr10:uidLastSave="{00000000-0000-0000-0000-000000000000}"/>
  <bookViews>
    <workbookView xWindow="0" yWindow="0" windowWidth="23040" windowHeight="9060" activeTab="4" xr2:uid="{A885F257-22F4-4B85-B447-9A74EF78C78C}"/>
  </bookViews>
  <sheets>
    <sheet name="Lotes" sheetId="2" r:id="rId1"/>
    <sheet name="Mediciones_Pureza" sheetId="3" r:id="rId2"/>
    <sheet name="Peso_Pacas" sheetId="4" r:id="rId3"/>
    <sheet name="KPIs_Diarios" sheetId="5" r:id="rId4"/>
    <sheet name="Costos_CONC" sheetId="7" r:id="rId5"/>
    <sheet name="Operadores" sheetId="8" r:id="rId6"/>
    <sheet name="Resumen" sheetId="9" r:id="rId7"/>
  </sheets>
  <definedNames>
    <definedName name="CONTROL_PESOS">#REF!</definedName>
    <definedName name="TABLA_CAPACIDAD">#REF!</definedName>
    <definedName name="TABLA_PESOS">#REF!</definedName>
    <definedName name="TABLA_PUREZ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C21" i="9" l="1"/>
  <c r="C34" i="9"/>
  <c r="C32" i="9"/>
  <c r="C31" i="9"/>
  <c r="C30" i="9"/>
  <c r="C29" i="9"/>
  <c r="C28" i="9"/>
  <c r="C24" i="9"/>
  <c r="C23" i="9"/>
  <c r="C22" i="9"/>
  <c r="C20" i="9"/>
  <c r="C19" i="9"/>
  <c r="C18" i="9"/>
  <c r="C17" i="9"/>
  <c r="C13" i="9"/>
  <c r="E13" i="9" s="1"/>
  <c r="C12" i="9"/>
  <c r="E12" i="9" s="1"/>
  <c r="C11" i="9"/>
  <c r="E11" i="9" s="1"/>
  <c r="C10" i="9"/>
  <c r="E10" i="9" s="1"/>
  <c r="C9" i="9"/>
  <c r="E9" i="9" s="1"/>
  <c r="C8" i="9"/>
  <c r="E8" i="9" s="1"/>
  <c r="B2" i="9"/>
  <c r="G3" i="7"/>
  <c r="G7" i="7"/>
  <c r="G8" i="7"/>
  <c r="G10" i="7"/>
  <c r="G23" i="7"/>
  <c r="G24" i="7"/>
  <c r="G31" i="7"/>
  <c r="G32" i="7"/>
  <c r="G34" i="7"/>
  <c r="G39" i="7"/>
  <c r="G40" i="7"/>
  <c r="G42" i="7"/>
  <c r="G5" i="7"/>
  <c r="G9" i="7"/>
  <c r="G13" i="7"/>
  <c r="G17" i="7"/>
  <c r="G21" i="7"/>
  <c r="G25" i="7"/>
  <c r="G29" i="7"/>
  <c r="G33" i="7"/>
  <c r="G37" i="7"/>
  <c r="G41" i="7"/>
  <c r="G45" i="7"/>
  <c r="G49" i="7"/>
  <c r="G4" i="7"/>
  <c r="H8" i="7"/>
  <c r="G6" i="7"/>
  <c r="G11" i="7"/>
  <c r="G12" i="7"/>
  <c r="G14" i="7"/>
  <c r="G15" i="7"/>
  <c r="G16" i="7"/>
  <c r="G18" i="7"/>
  <c r="G19" i="7"/>
  <c r="G20" i="7"/>
  <c r="G22" i="7"/>
  <c r="G26" i="7"/>
  <c r="G27" i="7"/>
  <c r="G28" i="7"/>
  <c r="G30" i="7"/>
  <c r="G35" i="7"/>
  <c r="G36" i="7"/>
  <c r="G38" i="7"/>
  <c r="G43" i="7"/>
  <c r="G44" i="7"/>
  <c r="G46" i="7"/>
  <c r="G47" i="7"/>
  <c r="G48" i="7"/>
  <c r="G2" i="7"/>
  <c r="C33" i="9" s="1"/>
  <c r="C35" i="9" s="1"/>
  <c r="C36" i="9" s="1"/>
  <c r="B3" i="7"/>
  <c r="C3" i="7" s="1"/>
  <c r="B4" i="7"/>
  <c r="C4" i="7" s="1"/>
  <c r="B5" i="7"/>
  <c r="C5" i="7" s="1"/>
  <c r="B6" i="7"/>
  <c r="C6" i="7" s="1"/>
  <c r="B7" i="7"/>
  <c r="C7" i="7" s="1"/>
  <c r="B8" i="7"/>
  <c r="C8" i="7" s="1"/>
  <c r="B9" i="7"/>
  <c r="C9" i="7" s="1"/>
  <c r="B10" i="7"/>
  <c r="C10" i="7" s="1"/>
  <c r="B11" i="7"/>
  <c r="C11" i="7" s="1"/>
  <c r="B12" i="7"/>
  <c r="C12" i="7" s="1"/>
  <c r="B13" i="7"/>
  <c r="C13" i="7" s="1"/>
  <c r="B14" i="7"/>
  <c r="C14" i="7" s="1"/>
  <c r="B15" i="7"/>
  <c r="C15" i="7" s="1"/>
  <c r="B16" i="7"/>
  <c r="C16" i="7" s="1"/>
  <c r="B17" i="7"/>
  <c r="C17" i="7" s="1"/>
  <c r="B18" i="7"/>
  <c r="C18" i="7" s="1"/>
  <c r="B19" i="7"/>
  <c r="C19" i="7" s="1"/>
  <c r="B20" i="7"/>
  <c r="C20" i="7" s="1"/>
  <c r="B21" i="7"/>
  <c r="C21" i="7" s="1"/>
  <c r="B22" i="7"/>
  <c r="C22" i="7" s="1"/>
  <c r="B23" i="7"/>
  <c r="C23" i="7" s="1"/>
  <c r="B24" i="7"/>
  <c r="C24" i="7" s="1"/>
  <c r="B25" i="7"/>
  <c r="C25" i="7" s="1"/>
  <c r="B26" i="7"/>
  <c r="C26" i="7" s="1"/>
  <c r="B27" i="7"/>
  <c r="C27" i="7" s="1"/>
  <c r="B28" i="7"/>
  <c r="C28" i="7" s="1"/>
  <c r="B29" i="7"/>
  <c r="C29" i="7" s="1"/>
  <c r="B30" i="7"/>
  <c r="C30" i="7" s="1"/>
  <c r="B31" i="7"/>
  <c r="C31" i="7" s="1"/>
  <c r="B32" i="7"/>
  <c r="C32" i="7" s="1"/>
  <c r="B33" i="7"/>
  <c r="C33" i="7" s="1"/>
  <c r="B34" i="7"/>
  <c r="C34" i="7" s="1"/>
  <c r="B35" i="7"/>
  <c r="C35" i="7" s="1"/>
  <c r="B36" i="7"/>
  <c r="C36" i="7" s="1"/>
  <c r="B37" i="7"/>
  <c r="C37" i="7" s="1"/>
  <c r="B38" i="7"/>
  <c r="C38" i="7" s="1"/>
  <c r="B39" i="7"/>
  <c r="C39" i="7" s="1"/>
  <c r="B40" i="7"/>
  <c r="C40" i="7" s="1"/>
  <c r="B41" i="7"/>
  <c r="C41" i="7" s="1"/>
  <c r="B42" i="7"/>
  <c r="C42" i="7" s="1"/>
  <c r="B43" i="7"/>
  <c r="C43" i="7" s="1"/>
  <c r="B44" i="7"/>
  <c r="C44" i="7" s="1"/>
  <c r="B45" i="7"/>
  <c r="C45" i="7" s="1"/>
  <c r="B46" i="7"/>
  <c r="C46" i="7" s="1"/>
  <c r="B47" i="7"/>
  <c r="C47" i="7" s="1"/>
  <c r="B48" i="7"/>
  <c r="C48" i="7" s="1"/>
  <c r="B49" i="7"/>
  <c r="C49" i="7" s="1"/>
  <c r="B2" i="7"/>
  <c r="C2" i="7" s="1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2" i="5"/>
  <c r="K7" i="5"/>
  <c r="K182" i="5"/>
  <c r="K310" i="5"/>
  <c r="J270" i="5"/>
  <c r="J271" i="5"/>
  <c r="H29" i="5"/>
  <c r="K29" i="5" s="1"/>
  <c r="H30" i="5"/>
  <c r="K30" i="5" s="1"/>
  <c r="H31" i="5"/>
  <c r="K31" i="5" s="1"/>
  <c r="H32" i="5"/>
  <c r="K32" i="5" s="1"/>
  <c r="H33" i="5"/>
  <c r="K33" i="5" s="1"/>
  <c r="H34" i="5"/>
  <c r="K34" i="5" s="1"/>
  <c r="H35" i="5"/>
  <c r="K35" i="5" s="1"/>
  <c r="H36" i="5"/>
  <c r="K36" i="5" s="1"/>
  <c r="H37" i="5"/>
  <c r="K37" i="5" s="1"/>
  <c r="H38" i="5"/>
  <c r="K38" i="5" s="1"/>
  <c r="H39" i="5"/>
  <c r="K39" i="5" s="1"/>
  <c r="H40" i="5"/>
  <c r="K40" i="5" s="1"/>
  <c r="H41" i="5"/>
  <c r="K41" i="5" s="1"/>
  <c r="H42" i="5"/>
  <c r="K42" i="5" s="1"/>
  <c r="H43" i="5"/>
  <c r="K43" i="5" s="1"/>
  <c r="H44" i="5"/>
  <c r="K44" i="5" s="1"/>
  <c r="H45" i="5"/>
  <c r="K45" i="5" s="1"/>
  <c r="H46" i="5"/>
  <c r="K46" i="5" s="1"/>
  <c r="H47" i="5"/>
  <c r="K47" i="5" s="1"/>
  <c r="H48" i="5"/>
  <c r="K48" i="5" s="1"/>
  <c r="H49" i="5"/>
  <c r="K49" i="5" s="1"/>
  <c r="H50" i="5"/>
  <c r="K50" i="5" s="1"/>
  <c r="H51" i="5"/>
  <c r="K51" i="5" s="1"/>
  <c r="H52" i="5"/>
  <c r="K52" i="5" s="1"/>
  <c r="H53" i="5"/>
  <c r="K53" i="5" s="1"/>
  <c r="H54" i="5"/>
  <c r="J54" i="5" s="1"/>
  <c r="H55" i="5"/>
  <c r="J55" i="5" s="1"/>
  <c r="H56" i="5"/>
  <c r="K56" i="5" s="1"/>
  <c r="H57" i="5"/>
  <c r="K57" i="5" s="1"/>
  <c r="H58" i="5"/>
  <c r="K58" i="5" s="1"/>
  <c r="H59" i="5"/>
  <c r="K59" i="5" s="1"/>
  <c r="H60" i="5"/>
  <c r="K60" i="5" s="1"/>
  <c r="H61" i="5"/>
  <c r="K61" i="5" s="1"/>
  <c r="H62" i="5"/>
  <c r="K62" i="5" s="1"/>
  <c r="H63" i="5"/>
  <c r="J63" i="5" s="1"/>
  <c r="H64" i="5"/>
  <c r="K64" i="5" s="1"/>
  <c r="H65" i="5"/>
  <c r="K65" i="5" s="1"/>
  <c r="H66" i="5"/>
  <c r="K66" i="5" s="1"/>
  <c r="H67" i="5"/>
  <c r="K67" i="5" s="1"/>
  <c r="H68" i="5"/>
  <c r="K68" i="5" s="1"/>
  <c r="H69" i="5"/>
  <c r="K69" i="5" s="1"/>
  <c r="H70" i="5"/>
  <c r="K70" i="5" s="1"/>
  <c r="H71" i="5"/>
  <c r="K71" i="5" s="1"/>
  <c r="H72" i="5"/>
  <c r="K72" i="5" s="1"/>
  <c r="H73" i="5"/>
  <c r="K73" i="5" s="1"/>
  <c r="H74" i="5"/>
  <c r="K74" i="5" s="1"/>
  <c r="H75" i="5"/>
  <c r="K75" i="5" s="1"/>
  <c r="H76" i="5"/>
  <c r="K76" i="5" s="1"/>
  <c r="H77" i="5"/>
  <c r="K77" i="5" s="1"/>
  <c r="H78" i="5"/>
  <c r="K78" i="5" s="1"/>
  <c r="H79" i="5"/>
  <c r="J79" i="5" s="1"/>
  <c r="H80" i="5"/>
  <c r="K80" i="5" s="1"/>
  <c r="H81" i="5"/>
  <c r="K81" i="5" s="1"/>
  <c r="H82" i="5"/>
  <c r="K82" i="5" s="1"/>
  <c r="H83" i="5"/>
  <c r="K83" i="5" s="1"/>
  <c r="H84" i="5"/>
  <c r="K84" i="5" s="1"/>
  <c r="H85" i="5"/>
  <c r="K85" i="5" s="1"/>
  <c r="H86" i="5"/>
  <c r="J86" i="5" s="1"/>
  <c r="H87" i="5"/>
  <c r="J87" i="5" s="1"/>
  <c r="H88" i="5"/>
  <c r="K88" i="5" s="1"/>
  <c r="H89" i="5"/>
  <c r="K89" i="5" s="1"/>
  <c r="H90" i="5"/>
  <c r="K90" i="5" s="1"/>
  <c r="H91" i="5"/>
  <c r="K91" i="5" s="1"/>
  <c r="H92" i="5"/>
  <c r="K92" i="5" s="1"/>
  <c r="H93" i="5"/>
  <c r="K93" i="5" s="1"/>
  <c r="H94" i="5"/>
  <c r="K94" i="5" s="1"/>
  <c r="H95" i="5"/>
  <c r="K95" i="5" s="1"/>
  <c r="H96" i="5"/>
  <c r="K96" i="5" s="1"/>
  <c r="H97" i="5"/>
  <c r="K97" i="5" s="1"/>
  <c r="H98" i="5"/>
  <c r="K98" i="5" s="1"/>
  <c r="H99" i="5"/>
  <c r="K99" i="5" s="1"/>
  <c r="H100" i="5"/>
  <c r="K100" i="5" s="1"/>
  <c r="H101" i="5"/>
  <c r="K101" i="5" s="1"/>
  <c r="H102" i="5"/>
  <c r="K102" i="5" s="1"/>
  <c r="H103" i="5"/>
  <c r="K103" i="5" s="1"/>
  <c r="H104" i="5"/>
  <c r="K104" i="5" s="1"/>
  <c r="H105" i="5"/>
  <c r="K105" i="5" s="1"/>
  <c r="H106" i="5"/>
  <c r="K106" i="5" s="1"/>
  <c r="H107" i="5"/>
  <c r="K107" i="5" s="1"/>
  <c r="H108" i="5"/>
  <c r="K108" i="5" s="1"/>
  <c r="H109" i="5"/>
  <c r="K109" i="5" s="1"/>
  <c r="H110" i="5"/>
  <c r="J110" i="5" s="1"/>
  <c r="H111" i="5"/>
  <c r="J111" i="5" s="1"/>
  <c r="H112" i="5"/>
  <c r="K112" i="5" s="1"/>
  <c r="H113" i="5"/>
  <c r="K113" i="5" s="1"/>
  <c r="H114" i="5"/>
  <c r="K114" i="5" s="1"/>
  <c r="H115" i="5"/>
  <c r="K115" i="5" s="1"/>
  <c r="H116" i="5"/>
  <c r="K116" i="5" s="1"/>
  <c r="H117" i="5"/>
  <c r="K117" i="5" s="1"/>
  <c r="H118" i="5"/>
  <c r="J118" i="5" s="1"/>
  <c r="H119" i="5"/>
  <c r="J119" i="5" s="1"/>
  <c r="H120" i="5"/>
  <c r="K120" i="5" s="1"/>
  <c r="H121" i="5"/>
  <c r="K121" i="5" s="1"/>
  <c r="H122" i="5"/>
  <c r="K122" i="5" s="1"/>
  <c r="H123" i="5"/>
  <c r="K123" i="5" s="1"/>
  <c r="H124" i="5"/>
  <c r="K124" i="5" s="1"/>
  <c r="H125" i="5"/>
  <c r="K125" i="5" s="1"/>
  <c r="H126" i="5"/>
  <c r="K126" i="5" s="1"/>
  <c r="H127" i="5"/>
  <c r="K127" i="5" s="1"/>
  <c r="H128" i="5"/>
  <c r="K128" i="5" s="1"/>
  <c r="H129" i="5"/>
  <c r="K129" i="5" s="1"/>
  <c r="H130" i="5"/>
  <c r="K130" i="5" s="1"/>
  <c r="H131" i="5"/>
  <c r="K131" i="5" s="1"/>
  <c r="H132" i="5"/>
  <c r="K132" i="5" s="1"/>
  <c r="H133" i="5"/>
  <c r="K133" i="5" s="1"/>
  <c r="H134" i="5"/>
  <c r="K134" i="5" s="1"/>
  <c r="H135" i="5"/>
  <c r="K135" i="5" s="1"/>
  <c r="H136" i="5"/>
  <c r="K136" i="5" s="1"/>
  <c r="H137" i="5"/>
  <c r="K137" i="5" s="1"/>
  <c r="H138" i="5"/>
  <c r="K138" i="5" s="1"/>
  <c r="H139" i="5"/>
  <c r="K139" i="5" s="1"/>
  <c r="H140" i="5"/>
  <c r="K140" i="5" s="1"/>
  <c r="H141" i="5"/>
  <c r="K141" i="5" s="1"/>
  <c r="H142" i="5"/>
  <c r="K142" i="5" s="1"/>
  <c r="H143" i="5"/>
  <c r="J143" i="5" s="1"/>
  <c r="H144" i="5"/>
  <c r="K144" i="5" s="1"/>
  <c r="H145" i="5"/>
  <c r="K145" i="5" s="1"/>
  <c r="H146" i="5"/>
  <c r="K146" i="5" s="1"/>
  <c r="H147" i="5"/>
  <c r="K147" i="5" s="1"/>
  <c r="H148" i="5"/>
  <c r="K148" i="5" s="1"/>
  <c r="H149" i="5"/>
  <c r="K149" i="5" s="1"/>
  <c r="H150" i="5"/>
  <c r="J150" i="5" s="1"/>
  <c r="H151" i="5"/>
  <c r="J151" i="5" s="1"/>
  <c r="H152" i="5"/>
  <c r="K152" i="5" s="1"/>
  <c r="H153" i="5"/>
  <c r="K153" i="5" s="1"/>
  <c r="H154" i="5"/>
  <c r="K154" i="5" s="1"/>
  <c r="H155" i="5"/>
  <c r="K155" i="5" s="1"/>
  <c r="H156" i="5"/>
  <c r="K156" i="5" s="1"/>
  <c r="H157" i="5"/>
  <c r="K157" i="5" s="1"/>
  <c r="H158" i="5"/>
  <c r="K158" i="5" s="1"/>
  <c r="H159" i="5"/>
  <c r="K159" i="5" s="1"/>
  <c r="H160" i="5"/>
  <c r="K160" i="5" s="1"/>
  <c r="H161" i="5"/>
  <c r="K161" i="5" s="1"/>
  <c r="H162" i="5"/>
  <c r="K162" i="5" s="1"/>
  <c r="H163" i="5"/>
  <c r="K163" i="5" s="1"/>
  <c r="H164" i="5"/>
  <c r="K164" i="5" s="1"/>
  <c r="H165" i="5"/>
  <c r="K165" i="5" s="1"/>
  <c r="H166" i="5"/>
  <c r="K166" i="5" s="1"/>
  <c r="H167" i="5"/>
  <c r="K167" i="5" s="1"/>
  <c r="H168" i="5"/>
  <c r="K168" i="5" s="1"/>
  <c r="H169" i="5"/>
  <c r="K169" i="5" s="1"/>
  <c r="H170" i="5"/>
  <c r="K170" i="5" s="1"/>
  <c r="H171" i="5"/>
  <c r="K171" i="5" s="1"/>
  <c r="H172" i="5"/>
  <c r="K172" i="5" s="1"/>
  <c r="H173" i="5"/>
  <c r="K173" i="5" s="1"/>
  <c r="H174" i="5"/>
  <c r="K174" i="5" s="1"/>
  <c r="H175" i="5"/>
  <c r="K175" i="5" s="1"/>
  <c r="H176" i="5"/>
  <c r="K176" i="5" s="1"/>
  <c r="H177" i="5"/>
  <c r="K177" i="5" s="1"/>
  <c r="H178" i="5"/>
  <c r="K178" i="5" s="1"/>
  <c r="H179" i="5"/>
  <c r="K179" i="5" s="1"/>
  <c r="H180" i="5"/>
  <c r="K180" i="5" s="1"/>
  <c r="H181" i="5"/>
  <c r="K181" i="5" s="1"/>
  <c r="H182" i="5"/>
  <c r="J182" i="5" s="1"/>
  <c r="H183" i="5"/>
  <c r="J183" i="5" s="1"/>
  <c r="H184" i="5"/>
  <c r="K184" i="5" s="1"/>
  <c r="H185" i="5"/>
  <c r="K185" i="5" s="1"/>
  <c r="H186" i="5"/>
  <c r="K186" i="5" s="1"/>
  <c r="H187" i="5"/>
  <c r="K187" i="5" s="1"/>
  <c r="H188" i="5"/>
  <c r="K188" i="5" s="1"/>
  <c r="H189" i="5"/>
  <c r="K189" i="5" s="1"/>
  <c r="H190" i="5"/>
  <c r="K190" i="5" s="1"/>
  <c r="H191" i="5"/>
  <c r="J191" i="5" s="1"/>
  <c r="H192" i="5"/>
  <c r="K192" i="5" s="1"/>
  <c r="H193" i="5"/>
  <c r="K193" i="5" s="1"/>
  <c r="H194" i="5"/>
  <c r="K194" i="5" s="1"/>
  <c r="H195" i="5"/>
  <c r="K195" i="5" s="1"/>
  <c r="H196" i="5"/>
  <c r="K196" i="5" s="1"/>
  <c r="H197" i="5"/>
  <c r="K197" i="5" s="1"/>
  <c r="H198" i="5"/>
  <c r="K198" i="5" s="1"/>
  <c r="H199" i="5"/>
  <c r="K199" i="5" s="1"/>
  <c r="H200" i="5"/>
  <c r="K200" i="5" s="1"/>
  <c r="H201" i="5"/>
  <c r="K201" i="5" s="1"/>
  <c r="H202" i="5"/>
  <c r="K202" i="5" s="1"/>
  <c r="H203" i="5"/>
  <c r="K203" i="5" s="1"/>
  <c r="H204" i="5"/>
  <c r="K204" i="5" s="1"/>
  <c r="H205" i="5"/>
  <c r="K205" i="5" s="1"/>
  <c r="H206" i="5"/>
  <c r="K206" i="5" s="1"/>
  <c r="H207" i="5"/>
  <c r="J207" i="5" s="1"/>
  <c r="H208" i="5"/>
  <c r="K208" i="5" s="1"/>
  <c r="H209" i="5"/>
  <c r="K209" i="5" s="1"/>
  <c r="H210" i="5"/>
  <c r="K210" i="5" s="1"/>
  <c r="H211" i="5"/>
  <c r="K211" i="5" s="1"/>
  <c r="H212" i="5"/>
  <c r="K212" i="5" s="1"/>
  <c r="H213" i="5"/>
  <c r="K213" i="5" s="1"/>
  <c r="H214" i="5"/>
  <c r="J214" i="5" s="1"/>
  <c r="H215" i="5"/>
  <c r="J215" i="5" s="1"/>
  <c r="H216" i="5"/>
  <c r="K216" i="5" s="1"/>
  <c r="H217" i="5"/>
  <c r="K217" i="5" s="1"/>
  <c r="H218" i="5"/>
  <c r="K218" i="5" s="1"/>
  <c r="H219" i="5"/>
  <c r="K219" i="5" s="1"/>
  <c r="H220" i="5"/>
  <c r="K220" i="5" s="1"/>
  <c r="H221" i="5"/>
  <c r="K221" i="5" s="1"/>
  <c r="H222" i="5"/>
  <c r="K222" i="5" s="1"/>
  <c r="H223" i="5"/>
  <c r="K223" i="5" s="1"/>
  <c r="H224" i="5"/>
  <c r="K224" i="5" s="1"/>
  <c r="H225" i="5"/>
  <c r="K225" i="5" s="1"/>
  <c r="H226" i="5"/>
  <c r="K226" i="5" s="1"/>
  <c r="H227" i="5"/>
  <c r="K227" i="5" s="1"/>
  <c r="H228" i="5"/>
  <c r="K228" i="5" s="1"/>
  <c r="H229" i="5"/>
  <c r="K229" i="5" s="1"/>
  <c r="H230" i="5"/>
  <c r="K230" i="5" s="1"/>
  <c r="H231" i="5"/>
  <c r="K231" i="5" s="1"/>
  <c r="H232" i="5"/>
  <c r="K232" i="5" s="1"/>
  <c r="H233" i="5"/>
  <c r="K233" i="5" s="1"/>
  <c r="H234" i="5"/>
  <c r="K234" i="5" s="1"/>
  <c r="H235" i="5"/>
  <c r="K235" i="5" s="1"/>
  <c r="H236" i="5"/>
  <c r="K236" i="5" s="1"/>
  <c r="H237" i="5"/>
  <c r="K237" i="5" s="1"/>
  <c r="H238" i="5"/>
  <c r="K238" i="5" s="1"/>
  <c r="H239" i="5"/>
  <c r="K239" i="5" s="1"/>
  <c r="H240" i="5"/>
  <c r="K240" i="5" s="1"/>
  <c r="H241" i="5"/>
  <c r="K241" i="5" s="1"/>
  <c r="H242" i="5"/>
  <c r="K242" i="5" s="1"/>
  <c r="H243" i="5"/>
  <c r="K243" i="5" s="1"/>
  <c r="H244" i="5"/>
  <c r="K244" i="5" s="1"/>
  <c r="H245" i="5"/>
  <c r="K245" i="5" s="1"/>
  <c r="H246" i="5"/>
  <c r="J246" i="5" s="1"/>
  <c r="H247" i="5"/>
  <c r="J247" i="5" s="1"/>
  <c r="H248" i="5"/>
  <c r="K248" i="5" s="1"/>
  <c r="H249" i="5"/>
  <c r="K249" i="5" s="1"/>
  <c r="H250" i="5"/>
  <c r="K250" i="5" s="1"/>
  <c r="H251" i="5"/>
  <c r="K251" i="5" s="1"/>
  <c r="H252" i="5"/>
  <c r="K252" i="5" s="1"/>
  <c r="H253" i="5"/>
  <c r="K253" i="5" s="1"/>
  <c r="H254" i="5"/>
  <c r="K254" i="5" s="1"/>
  <c r="H255" i="5"/>
  <c r="K255" i="5" s="1"/>
  <c r="H256" i="5"/>
  <c r="K256" i="5" s="1"/>
  <c r="H257" i="5"/>
  <c r="K257" i="5" s="1"/>
  <c r="H258" i="5"/>
  <c r="K258" i="5" s="1"/>
  <c r="H259" i="5"/>
  <c r="K259" i="5" s="1"/>
  <c r="H260" i="5"/>
  <c r="K260" i="5" s="1"/>
  <c r="H261" i="5"/>
  <c r="K261" i="5" s="1"/>
  <c r="H262" i="5"/>
  <c r="K262" i="5" s="1"/>
  <c r="H263" i="5"/>
  <c r="K263" i="5" s="1"/>
  <c r="H264" i="5"/>
  <c r="K264" i="5" s="1"/>
  <c r="H265" i="5"/>
  <c r="K265" i="5" s="1"/>
  <c r="H266" i="5"/>
  <c r="K266" i="5" s="1"/>
  <c r="H267" i="5"/>
  <c r="K267" i="5" s="1"/>
  <c r="H268" i="5"/>
  <c r="K268" i="5" s="1"/>
  <c r="H269" i="5"/>
  <c r="K269" i="5" s="1"/>
  <c r="H270" i="5"/>
  <c r="K270" i="5" s="1"/>
  <c r="H271" i="5"/>
  <c r="K271" i="5" s="1"/>
  <c r="H272" i="5"/>
  <c r="K272" i="5" s="1"/>
  <c r="H273" i="5"/>
  <c r="K273" i="5" s="1"/>
  <c r="H274" i="5"/>
  <c r="K274" i="5" s="1"/>
  <c r="H275" i="5"/>
  <c r="K275" i="5" s="1"/>
  <c r="H276" i="5"/>
  <c r="K276" i="5" s="1"/>
  <c r="H277" i="5"/>
  <c r="K277" i="5" s="1"/>
  <c r="H278" i="5"/>
  <c r="J278" i="5" s="1"/>
  <c r="H279" i="5"/>
  <c r="J279" i="5" s="1"/>
  <c r="H280" i="5"/>
  <c r="K280" i="5" s="1"/>
  <c r="H281" i="5"/>
  <c r="K281" i="5" s="1"/>
  <c r="H282" i="5"/>
  <c r="K282" i="5" s="1"/>
  <c r="H283" i="5"/>
  <c r="K283" i="5" s="1"/>
  <c r="H284" i="5"/>
  <c r="K284" i="5" s="1"/>
  <c r="H285" i="5"/>
  <c r="K285" i="5" s="1"/>
  <c r="H286" i="5"/>
  <c r="K286" i="5" s="1"/>
  <c r="H287" i="5"/>
  <c r="J287" i="5" s="1"/>
  <c r="H288" i="5"/>
  <c r="K288" i="5" s="1"/>
  <c r="H289" i="5"/>
  <c r="K289" i="5" s="1"/>
  <c r="H290" i="5"/>
  <c r="K290" i="5" s="1"/>
  <c r="H291" i="5"/>
  <c r="K291" i="5" s="1"/>
  <c r="H292" i="5"/>
  <c r="K292" i="5" s="1"/>
  <c r="H293" i="5"/>
  <c r="K293" i="5" s="1"/>
  <c r="H294" i="5"/>
  <c r="K294" i="5" s="1"/>
  <c r="H295" i="5"/>
  <c r="K295" i="5" s="1"/>
  <c r="H296" i="5"/>
  <c r="K296" i="5" s="1"/>
  <c r="H297" i="5"/>
  <c r="K297" i="5" s="1"/>
  <c r="H298" i="5"/>
  <c r="K298" i="5" s="1"/>
  <c r="H299" i="5"/>
  <c r="K299" i="5" s="1"/>
  <c r="H300" i="5"/>
  <c r="K300" i="5" s="1"/>
  <c r="H301" i="5"/>
  <c r="K301" i="5" s="1"/>
  <c r="H302" i="5"/>
  <c r="J302" i="5" s="1"/>
  <c r="H303" i="5"/>
  <c r="J303" i="5" s="1"/>
  <c r="H304" i="5"/>
  <c r="K304" i="5" s="1"/>
  <c r="H305" i="5"/>
  <c r="K305" i="5" s="1"/>
  <c r="H306" i="5"/>
  <c r="K306" i="5" s="1"/>
  <c r="H307" i="5"/>
  <c r="K307" i="5" s="1"/>
  <c r="H308" i="5"/>
  <c r="K308" i="5" s="1"/>
  <c r="H309" i="5"/>
  <c r="K309" i="5" s="1"/>
  <c r="H310" i="5"/>
  <c r="J310" i="5" s="1"/>
  <c r="H311" i="5"/>
  <c r="J311" i="5" s="1"/>
  <c r="H312" i="5"/>
  <c r="K312" i="5" s="1"/>
  <c r="H313" i="5"/>
  <c r="K313" i="5" s="1"/>
  <c r="H8" i="5"/>
  <c r="K8" i="5" s="1"/>
  <c r="H9" i="5"/>
  <c r="K9" i="5" s="1"/>
  <c r="H10" i="5"/>
  <c r="K10" i="5" s="1"/>
  <c r="H11" i="5"/>
  <c r="K11" i="5" s="1"/>
  <c r="H12" i="5"/>
  <c r="K12" i="5" s="1"/>
  <c r="H13" i="5"/>
  <c r="K13" i="5" s="1"/>
  <c r="H14" i="5"/>
  <c r="J14" i="5" s="1"/>
  <c r="H15" i="5"/>
  <c r="K15" i="5" s="1"/>
  <c r="H16" i="5"/>
  <c r="K16" i="5" s="1"/>
  <c r="H17" i="5"/>
  <c r="K17" i="5" s="1"/>
  <c r="H18" i="5"/>
  <c r="K18" i="5" s="1"/>
  <c r="H19" i="5"/>
  <c r="K19" i="5" s="1"/>
  <c r="H20" i="5"/>
  <c r="K20" i="5" s="1"/>
  <c r="H21" i="5"/>
  <c r="K21" i="5" s="1"/>
  <c r="H22" i="5"/>
  <c r="K22" i="5" s="1"/>
  <c r="H23" i="5"/>
  <c r="K23" i="5" s="1"/>
  <c r="H24" i="5"/>
  <c r="K24" i="5" s="1"/>
  <c r="H25" i="5"/>
  <c r="K25" i="5" s="1"/>
  <c r="H26" i="5"/>
  <c r="K26" i="5" s="1"/>
  <c r="H27" i="5"/>
  <c r="K27" i="5" s="1"/>
  <c r="H28" i="5"/>
  <c r="K28" i="5" s="1"/>
  <c r="H3" i="5"/>
  <c r="K3" i="5" s="1"/>
  <c r="H4" i="5"/>
  <c r="K4" i="5" s="1"/>
  <c r="H5" i="5"/>
  <c r="K5" i="5" s="1"/>
  <c r="H6" i="5"/>
  <c r="J6" i="5" s="1"/>
  <c r="H7" i="5"/>
  <c r="J7" i="5" s="1"/>
  <c r="H2" i="5"/>
  <c r="K2" i="5" s="1"/>
  <c r="E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2" i="5"/>
  <c r="C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2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" i="3"/>
  <c r="L2" i="3"/>
  <c r="K3" i="3"/>
  <c r="M3" i="3" s="1"/>
  <c r="K4" i="3"/>
  <c r="M4" i="3" s="1"/>
  <c r="K5" i="3"/>
  <c r="M5" i="3" s="1"/>
  <c r="K6" i="3"/>
  <c r="K7" i="3"/>
  <c r="M7" i="3" s="1"/>
  <c r="K8" i="3"/>
  <c r="M8" i="3" s="1"/>
  <c r="K9" i="3"/>
  <c r="M9" i="3" s="1"/>
  <c r="K10" i="3"/>
  <c r="M10" i="3" s="1"/>
  <c r="K11" i="3"/>
  <c r="K12" i="3"/>
  <c r="K13" i="3"/>
  <c r="K14" i="3"/>
  <c r="K15" i="3"/>
  <c r="M15" i="3" s="1"/>
  <c r="K16" i="3"/>
  <c r="M16" i="3" s="1"/>
  <c r="K17" i="3"/>
  <c r="M17" i="3" s="1"/>
  <c r="K18" i="3"/>
  <c r="M18" i="3" s="1"/>
  <c r="K19" i="3"/>
  <c r="M19" i="3" s="1"/>
  <c r="K20" i="3"/>
  <c r="M20" i="3" s="1"/>
  <c r="K21" i="3"/>
  <c r="M21" i="3" s="1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M35" i="3" s="1"/>
  <c r="K36" i="3"/>
  <c r="M36" i="3" s="1"/>
  <c r="K37" i="3"/>
  <c r="M37" i="3" s="1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M51" i="3" s="1"/>
  <c r="K52" i="3"/>
  <c r="M52" i="3" s="1"/>
  <c r="K53" i="3"/>
  <c r="M53" i="3" s="1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M67" i="3" s="1"/>
  <c r="K68" i="3"/>
  <c r="M68" i="3" s="1"/>
  <c r="K69" i="3"/>
  <c r="M69" i="3" s="1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M83" i="3" s="1"/>
  <c r="K84" i="3"/>
  <c r="M84" i="3" s="1"/>
  <c r="K85" i="3"/>
  <c r="M85" i="3" s="1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M99" i="3" s="1"/>
  <c r="K100" i="3"/>
  <c r="M100" i="3" s="1"/>
  <c r="K101" i="3"/>
  <c r="M101" i="3" s="1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M115" i="3" s="1"/>
  <c r="K116" i="3"/>
  <c r="M116" i="3" s="1"/>
  <c r="K117" i="3"/>
  <c r="M117" i="3" s="1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M131" i="3" s="1"/>
  <c r="K132" i="3"/>
  <c r="M132" i="3" s="1"/>
  <c r="K133" i="3"/>
  <c r="M133" i="3" s="1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M147" i="3" s="1"/>
  <c r="K148" i="3"/>
  <c r="M148" i="3" s="1"/>
  <c r="K149" i="3"/>
  <c r="M149" i="3" s="1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M163" i="3" s="1"/>
  <c r="K164" i="3"/>
  <c r="M164" i="3" s="1"/>
  <c r="K165" i="3"/>
  <c r="M165" i="3" s="1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M179" i="3" s="1"/>
  <c r="K180" i="3"/>
  <c r="M180" i="3" s="1"/>
  <c r="K181" i="3"/>
  <c r="M181" i="3" s="1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M195" i="3" s="1"/>
  <c r="K196" i="3"/>
  <c r="M196" i="3" s="1"/>
  <c r="K197" i="3"/>
  <c r="M197" i="3" s="1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M211" i="3" s="1"/>
  <c r="K212" i="3"/>
  <c r="M212" i="3" s="1"/>
  <c r="K213" i="3"/>
  <c r="M213" i="3" s="1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M227" i="3" s="1"/>
  <c r="K228" i="3"/>
  <c r="M228" i="3" s="1"/>
  <c r="K229" i="3"/>
  <c r="M229" i="3" s="1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M243" i="3" s="1"/>
  <c r="K244" i="3"/>
  <c r="M244" i="3" s="1"/>
  <c r="K245" i="3"/>
  <c r="M245" i="3" s="1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M259" i="3" s="1"/>
  <c r="K260" i="3"/>
  <c r="M260" i="3" s="1"/>
  <c r="K261" i="3"/>
  <c r="M261" i="3" s="1"/>
  <c r="K2" i="3"/>
  <c r="M6" i="3"/>
  <c r="M11" i="3"/>
  <c r="M12" i="3"/>
  <c r="M13" i="3"/>
  <c r="M14" i="3"/>
  <c r="M22" i="3"/>
  <c r="M27" i="3"/>
  <c r="M28" i="3"/>
  <c r="M29" i="3"/>
  <c r="M30" i="3"/>
  <c r="M38" i="3"/>
  <c r="M43" i="3"/>
  <c r="M44" i="3"/>
  <c r="M45" i="3"/>
  <c r="M46" i="3"/>
  <c r="M54" i="3"/>
  <c r="M59" i="3"/>
  <c r="M60" i="3"/>
  <c r="M61" i="3"/>
  <c r="M62" i="3"/>
  <c r="M70" i="3"/>
  <c r="M75" i="3"/>
  <c r="M76" i="3"/>
  <c r="M77" i="3"/>
  <c r="M78" i="3"/>
  <c r="M86" i="3"/>
  <c r="M91" i="3"/>
  <c r="M92" i="3"/>
  <c r="M93" i="3"/>
  <c r="M94" i="3"/>
  <c r="M102" i="3"/>
  <c r="M107" i="3"/>
  <c r="M108" i="3"/>
  <c r="M109" i="3"/>
  <c r="M110" i="3"/>
  <c r="M118" i="3"/>
  <c r="M123" i="3"/>
  <c r="M124" i="3"/>
  <c r="M125" i="3"/>
  <c r="M126" i="3"/>
  <c r="M134" i="3"/>
  <c r="M139" i="3"/>
  <c r="M140" i="3"/>
  <c r="M141" i="3"/>
  <c r="M142" i="3"/>
  <c r="M150" i="3"/>
  <c r="M155" i="3"/>
  <c r="M156" i="3"/>
  <c r="M157" i="3"/>
  <c r="M166" i="3"/>
  <c r="M171" i="3"/>
  <c r="M172" i="3"/>
  <c r="M173" i="3"/>
  <c r="M182" i="3"/>
  <c r="M187" i="3"/>
  <c r="M188" i="3"/>
  <c r="M189" i="3"/>
  <c r="M198" i="3"/>
  <c r="M203" i="3"/>
  <c r="M204" i="3"/>
  <c r="M205" i="3"/>
  <c r="M214" i="3"/>
  <c r="M219" i="3"/>
  <c r="M220" i="3"/>
  <c r="M221" i="3"/>
  <c r="M230" i="3"/>
  <c r="M235" i="3"/>
  <c r="M236" i="3"/>
  <c r="M237" i="3"/>
  <c r="M246" i="3"/>
  <c r="M251" i="3"/>
  <c r="M252" i="3"/>
  <c r="M253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M158" i="3" s="1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M174" i="3" s="1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M190" i="3" s="1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M206" i="3" s="1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M222" i="3" s="1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M238" i="3" s="1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M254" i="3" s="1"/>
  <c r="J255" i="3"/>
  <c r="J256" i="3"/>
  <c r="J257" i="3"/>
  <c r="J258" i="3"/>
  <c r="J259" i="3"/>
  <c r="J260" i="3"/>
  <c r="J26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" i="3"/>
  <c r="A261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" i="3"/>
  <c r="H2" i="3"/>
  <c r="G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D2" i="2"/>
  <c r="C3" i="2"/>
  <c r="C4" i="2"/>
  <c r="C5" i="2"/>
  <c r="C6" i="2"/>
  <c r="C2" i="2"/>
  <c r="K118" i="5" l="1"/>
  <c r="K303" i="5"/>
  <c r="K279" i="5"/>
  <c r="J206" i="5"/>
  <c r="K278" i="5"/>
  <c r="K302" i="5"/>
  <c r="J142" i="5"/>
  <c r="J295" i="5"/>
  <c r="J78" i="5"/>
  <c r="J263" i="5"/>
  <c r="K54" i="5"/>
  <c r="J262" i="5"/>
  <c r="J294" i="5"/>
  <c r="K311" i="5"/>
  <c r="K246" i="5"/>
  <c r="J239" i="5"/>
  <c r="J175" i="5"/>
  <c r="J47" i="5"/>
  <c r="K151" i="5"/>
  <c r="K87" i="5"/>
  <c r="J174" i="5"/>
  <c r="J46" i="5"/>
  <c r="K86" i="5"/>
  <c r="J231" i="5"/>
  <c r="J167" i="5"/>
  <c r="J103" i="5"/>
  <c r="J39" i="5"/>
  <c r="K207" i="5"/>
  <c r="K143" i="5"/>
  <c r="K79" i="5"/>
  <c r="J135" i="5"/>
  <c r="K111" i="5"/>
  <c r="K215" i="5"/>
  <c r="J238" i="5"/>
  <c r="K214" i="5"/>
  <c r="J230" i="5"/>
  <c r="J166" i="5"/>
  <c r="J102" i="5"/>
  <c r="J38" i="5"/>
  <c r="J199" i="5"/>
  <c r="J71" i="5"/>
  <c r="J198" i="5"/>
  <c r="J134" i="5"/>
  <c r="J70" i="5"/>
  <c r="K110" i="5"/>
  <c r="K150" i="5"/>
  <c r="K247" i="5"/>
  <c r="K183" i="5"/>
  <c r="K119" i="5"/>
  <c r="K55" i="5"/>
  <c r="L5" i="4"/>
  <c r="M13" i="4"/>
  <c r="O13" i="4" s="1"/>
  <c r="J223" i="5"/>
  <c r="J159" i="5"/>
  <c r="J95" i="5"/>
  <c r="J31" i="5"/>
  <c r="J286" i="5"/>
  <c r="J254" i="5"/>
  <c r="J222" i="5"/>
  <c r="J190" i="5"/>
  <c r="J158" i="5"/>
  <c r="J126" i="5"/>
  <c r="J94" i="5"/>
  <c r="J62" i="5"/>
  <c r="J30" i="5"/>
  <c r="F2" i="9"/>
  <c r="J255" i="5"/>
  <c r="J127" i="5"/>
  <c r="K287" i="5"/>
  <c r="K191" i="5"/>
  <c r="K63" i="5"/>
  <c r="K6" i="5"/>
  <c r="J23" i="5"/>
  <c r="J22" i="5"/>
  <c r="J309" i="5"/>
  <c r="J301" i="5"/>
  <c r="J293" i="5"/>
  <c r="J285" i="5"/>
  <c r="J277" i="5"/>
  <c r="J269" i="5"/>
  <c r="J261" i="5"/>
  <c r="J253" i="5"/>
  <c r="J245" i="5"/>
  <c r="J237" i="5"/>
  <c r="J229" i="5"/>
  <c r="J221" i="5"/>
  <c r="J213" i="5"/>
  <c r="J205" i="5"/>
  <c r="J197" i="5"/>
  <c r="J189" i="5"/>
  <c r="J181" i="5"/>
  <c r="J173" i="5"/>
  <c r="J165" i="5"/>
  <c r="J157" i="5"/>
  <c r="J149" i="5"/>
  <c r="J141" i="5"/>
  <c r="J133" i="5"/>
  <c r="J125" i="5"/>
  <c r="J117" i="5"/>
  <c r="J109" i="5"/>
  <c r="J101" i="5"/>
  <c r="J93" i="5"/>
  <c r="J85" i="5"/>
  <c r="J77" i="5"/>
  <c r="J69" i="5"/>
  <c r="J61" i="5"/>
  <c r="J53" i="5"/>
  <c r="J45" i="5"/>
  <c r="J37" i="5"/>
  <c r="J29" i="5"/>
  <c r="J21" i="5"/>
  <c r="J13" i="5"/>
  <c r="J5" i="5"/>
  <c r="J308" i="5"/>
  <c r="J300" i="5"/>
  <c r="J292" i="5"/>
  <c r="J284" i="5"/>
  <c r="J276" i="5"/>
  <c r="J268" i="5"/>
  <c r="J260" i="5"/>
  <c r="J252" i="5"/>
  <c r="J244" i="5"/>
  <c r="J236" i="5"/>
  <c r="J228" i="5"/>
  <c r="J220" i="5"/>
  <c r="J212" i="5"/>
  <c r="J204" i="5"/>
  <c r="J196" i="5"/>
  <c r="J188" i="5"/>
  <c r="J180" i="5"/>
  <c r="J172" i="5"/>
  <c r="J164" i="5"/>
  <c r="J156" i="5"/>
  <c r="J148" i="5"/>
  <c r="J140" i="5"/>
  <c r="J132" i="5"/>
  <c r="J124" i="5"/>
  <c r="J116" i="5"/>
  <c r="J108" i="5"/>
  <c r="J100" i="5"/>
  <c r="J92" i="5"/>
  <c r="J84" i="5"/>
  <c r="J76" i="5"/>
  <c r="J68" i="5"/>
  <c r="J60" i="5"/>
  <c r="J52" i="5"/>
  <c r="J44" i="5"/>
  <c r="J36" i="5"/>
  <c r="J28" i="5"/>
  <c r="J20" i="5"/>
  <c r="J12" i="5"/>
  <c r="J4" i="5"/>
  <c r="J307" i="5"/>
  <c r="J299" i="5"/>
  <c r="J291" i="5"/>
  <c r="J283" i="5"/>
  <c r="J275" i="5"/>
  <c r="J267" i="5"/>
  <c r="J259" i="5"/>
  <c r="J251" i="5"/>
  <c r="J243" i="5"/>
  <c r="J235" i="5"/>
  <c r="J227" i="5"/>
  <c r="J219" i="5"/>
  <c r="J211" i="5"/>
  <c r="J203" i="5"/>
  <c r="J195" i="5"/>
  <c r="J187" i="5"/>
  <c r="J179" i="5"/>
  <c r="J171" i="5"/>
  <c r="J163" i="5"/>
  <c r="J155" i="5"/>
  <c r="J147" i="5"/>
  <c r="J139" i="5"/>
  <c r="J131" i="5"/>
  <c r="J123" i="5"/>
  <c r="J115" i="5"/>
  <c r="J107" i="5"/>
  <c r="J99" i="5"/>
  <c r="J91" i="5"/>
  <c r="J83" i="5"/>
  <c r="J75" i="5"/>
  <c r="J67" i="5"/>
  <c r="J59" i="5"/>
  <c r="J51" i="5"/>
  <c r="J43" i="5"/>
  <c r="J35" i="5"/>
  <c r="J27" i="5"/>
  <c r="J19" i="5"/>
  <c r="J11" i="5"/>
  <c r="J3" i="5"/>
  <c r="J2" i="5"/>
  <c r="J306" i="5"/>
  <c r="J298" i="5"/>
  <c r="J290" i="5"/>
  <c r="J282" i="5"/>
  <c r="J274" i="5"/>
  <c r="J266" i="5"/>
  <c r="J258" i="5"/>
  <c r="J250" i="5"/>
  <c r="J242" i="5"/>
  <c r="J234" i="5"/>
  <c r="J226" i="5"/>
  <c r="J218" i="5"/>
  <c r="J210" i="5"/>
  <c r="J202" i="5"/>
  <c r="J194" i="5"/>
  <c r="J186" i="5"/>
  <c r="J178" i="5"/>
  <c r="J170" i="5"/>
  <c r="J162" i="5"/>
  <c r="J154" i="5"/>
  <c r="J146" i="5"/>
  <c r="J138" i="5"/>
  <c r="J130" i="5"/>
  <c r="J122" i="5"/>
  <c r="J114" i="5"/>
  <c r="J106" i="5"/>
  <c r="J98" i="5"/>
  <c r="J90" i="5"/>
  <c r="J82" i="5"/>
  <c r="J74" i="5"/>
  <c r="J66" i="5"/>
  <c r="J58" i="5"/>
  <c r="J50" i="5"/>
  <c r="J42" i="5"/>
  <c r="J34" i="5"/>
  <c r="J26" i="5"/>
  <c r="J18" i="5"/>
  <c r="J10" i="5"/>
  <c r="J15" i="5"/>
  <c r="K14" i="5"/>
  <c r="J313" i="5"/>
  <c r="J305" i="5"/>
  <c r="J297" i="5"/>
  <c r="J289" i="5"/>
  <c r="J281" i="5"/>
  <c r="J273" i="5"/>
  <c r="J265" i="5"/>
  <c r="J257" i="5"/>
  <c r="J249" i="5"/>
  <c r="J241" i="5"/>
  <c r="J233" i="5"/>
  <c r="J225" i="5"/>
  <c r="J217" i="5"/>
  <c r="J209" i="5"/>
  <c r="J201" i="5"/>
  <c r="J193" i="5"/>
  <c r="J185" i="5"/>
  <c r="J177" i="5"/>
  <c r="J169" i="5"/>
  <c r="J161" i="5"/>
  <c r="J153" i="5"/>
  <c r="J145" i="5"/>
  <c r="J137" i="5"/>
  <c r="J129" i="5"/>
  <c r="J121" i="5"/>
  <c r="J113" i="5"/>
  <c r="J105" i="5"/>
  <c r="J97" i="5"/>
  <c r="J89" i="5"/>
  <c r="J81" i="5"/>
  <c r="J73" i="5"/>
  <c r="J65" i="5"/>
  <c r="J57" i="5"/>
  <c r="J49" i="5"/>
  <c r="J41" i="5"/>
  <c r="J33" i="5"/>
  <c r="J25" i="5"/>
  <c r="J17" i="5"/>
  <c r="J9" i="5"/>
  <c r="J312" i="5"/>
  <c r="J304" i="5"/>
  <c r="J296" i="5"/>
  <c r="J288" i="5"/>
  <c r="J280" i="5"/>
  <c r="J272" i="5"/>
  <c r="J264" i="5"/>
  <c r="J256" i="5"/>
  <c r="J248" i="5"/>
  <c r="J240" i="5"/>
  <c r="J232" i="5"/>
  <c r="J224" i="5"/>
  <c r="J216" i="5"/>
  <c r="J208" i="5"/>
  <c r="J200" i="5"/>
  <c r="J192" i="5"/>
  <c r="J184" i="5"/>
  <c r="J176" i="5"/>
  <c r="J168" i="5"/>
  <c r="J160" i="5"/>
  <c r="J152" i="5"/>
  <c r="J144" i="5"/>
  <c r="J136" i="5"/>
  <c r="J128" i="5"/>
  <c r="J120" i="5"/>
  <c r="J112" i="5"/>
  <c r="J104" i="5"/>
  <c r="J96" i="5"/>
  <c r="J88" i="5"/>
  <c r="J80" i="5"/>
  <c r="J72" i="5"/>
  <c r="J64" i="5"/>
  <c r="J56" i="5"/>
  <c r="J48" i="5"/>
  <c r="J40" i="5"/>
  <c r="J32" i="5"/>
  <c r="J24" i="5"/>
  <c r="J16" i="5"/>
  <c r="J8" i="5"/>
  <c r="L92" i="4"/>
  <c r="L81" i="4"/>
  <c r="L70" i="4"/>
  <c r="L60" i="4"/>
  <c r="L49" i="4"/>
  <c r="L38" i="4"/>
  <c r="L28" i="4"/>
  <c r="L17" i="4"/>
  <c r="L6" i="4"/>
  <c r="M94" i="4"/>
  <c r="M83" i="4"/>
  <c r="M72" i="4"/>
  <c r="M62" i="4"/>
  <c r="M51" i="4"/>
  <c r="M40" i="4"/>
  <c r="M30" i="4"/>
  <c r="M19" i="4"/>
  <c r="M3" i="4"/>
  <c r="L101" i="4"/>
  <c r="L91" i="4"/>
  <c r="L80" i="4"/>
  <c r="L69" i="4"/>
  <c r="L59" i="4"/>
  <c r="L48" i="4"/>
  <c r="L37" i="4"/>
  <c r="L27" i="4"/>
  <c r="L16" i="4"/>
  <c r="M93" i="4"/>
  <c r="M82" i="4"/>
  <c r="M71" i="4"/>
  <c r="M61" i="4"/>
  <c r="M50" i="4"/>
  <c r="M39" i="4"/>
  <c r="M29" i="4"/>
  <c r="M18" i="4"/>
  <c r="L7" i="4"/>
  <c r="L15" i="4"/>
  <c r="L23" i="4"/>
  <c r="L31" i="4"/>
  <c r="L39" i="4"/>
  <c r="L47" i="4"/>
  <c r="L55" i="4"/>
  <c r="L63" i="4"/>
  <c r="L71" i="4"/>
  <c r="L79" i="4"/>
  <c r="L87" i="4"/>
  <c r="L95" i="4"/>
  <c r="L3" i="4"/>
  <c r="L10" i="4"/>
  <c r="L18" i="4"/>
  <c r="L26" i="4"/>
  <c r="L34" i="4"/>
  <c r="L42" i="4"/>
  <c r="L50" i="4"/>
  <c r="L58" i="4"/>
  <c r="L66" i="4"/>
  <c r="L74" i="4"/>
  <c r="L82" i="4"/>
  <c r="L90" i="4"/>
  <c r="L98" i="4"/>
  <c r="M2" i="4"/>
  <c r="L100" i="4"/>
  <c r="L89" i="4"/>
  <c r="L78" i="4"/>
  <c r="L68" i="4"/>
  <c r="L57" i="4"/>
  <c r="L46" i="4"/>
  <c r="L36" i="4"/>
  <c r="L25" i="4"/>
  <c r="L14" i="4"/>
  <c r="L4" i="4"/>
  <c r="M91" i="4"/>
  <c r="M80" i="4"/>
  <c r="M70" i="4"/>
  <c r="M59" i="4"/>
  <c r="M48" i="4"/>
  <c r="M38" i="4"/>
  <c r="M27" i="4"/>
  <c r="M16" i="4"/>
  <c r="L2" i="4"/>
  <c r="L99" i="4"/>
  <c r="L88" i="4"/>
  <c r="L77" i="4"/>
  <c r="L67" i="4"/>
  <c r="L56" i="4"/>
  <c r="L45" i="4"/>
  <c r="L35" i="4"/>
  <c r="L24" i="4"/>
  <c r="L13" i="4"/>
  <c r="M101" i="4"/>
  <c r="M90" i="4"/>
  <c r="M79" i="4"/>
  <c r="M69" i="4"/>
  <c r="M58" i="4"/>
  <c r="M47" i="4"/>
  <c r="M37" i="4"/>
  <c r="M26" i="4"/>
  <c r="M15" i="4"/>
  <c r="L97" i="4"/>
  <c r="L86" i="4"/>
  <c r="L76" i="4"/>
  <c r="L65" i="4"/>
  <c r="L54" i="4"/>
  <c r="L44" i="4"/>
  <c r="L33" i="4"/>
  <c r="L22" i="4"/>
  <c r="L12" i="4"/>
  <c r="M99" i="4"/>
  <c r="M88" i="4"/>
  <c r="M78" i="4"/>
  <c r="M67" i="4"/>
  <c r="M56" i="4"/>
  <c r="M46" i="4"/>
  <c r="M35" i="4"/>
  <c r="M24" i="4"/>
  <c r="M14" i="4"/>
  <c r="L96" i="4"/>
  <c r="L85" i="4"/>
  <c r="L75" i="4"/>
  <c r="L64" i="4"/>
  <c r="L53" i="4"/>
  <c r="L43" i="4"/>
  <c r="L32" i="4"/>
  <c r="L21" i="4"/>
  <c r="L11" i="4"/>
  <c r="M98" i="4"/>
  <c r="M87" i="4"/>
  <c r="M77" i="4"/>
  <c r="M66" i="4"/>
  <c r="M55" i="4"/>
  <c r="M45" i="4"/>
  <c r="M34" i="4"/>
  <c r="M23" i="4"/>
  <c r="M5" i="4"/>
  <c r="M6" i="4"/>
  <c r="M7" i="4"/>
  <c r="M8" i="4"/>
  <c r="M9" i="4"/>
  <c r="M17" i="4"/>
  <c r="M25" i="4"/>
  <c r="M33" i="4"/>
  <c r="M41" i="4"/>
  <c r="M49" i="4"/>
  <c r="M57" i="4"/>
  <c r="M65" i="4"/>
  <c r="M73" i="4"/>
  <c r="M81" i="4"/>
  <c r="M89" i="4"/>
  <c r="M97" i="4"/>
  <c r="M4" i="4"/>
  <c r="M12" i="4"/>
  <c r="M20" i="4"/>
  <c r="M28" i="4"/>
  <c r="M36" i="4"/>
  <c r="M44" i="4"/>
  <c r="M52" i="4"/>
  <c r="M60" i="4"/>
  <c r="M68" i="4"/>
  <c r="M76" i="4"/>
  <c r="M84" i="4"/>
  <c r="M92" i="4"/>
  <c r="M100" i="4"/>
  <c r="L94" i="4"/>
  <c r="L84" i="4"/>
  <c r="L73" i="4"/>
  <c r="L62" i="4"/>
  <c r="L52" i="4"/>
  <c r="L41" i="4"/>
  <c r="L30" i="4"/>
  <c r="L20" i="4"/>
  <c r="L9" i="4"/>
  <c r="M96" i="4"/>
  <c r="M86" i="4"/>
  <c r="M75" i="4"/>
  <c r="M64" i="4"/>
  <c r="M54" i="4"/>
  <c r="M43" i="4"/>
  <c r="M32" i="4"/>
  <c r="M22" i="4"/>
  <c r="M11" i="4"/>
  <c r="L93" i="4"/>
  <c r="L83" i="4"/>
  <c r="L72" i="4"/>
  <c r="L61" i="4"/>
  <c r="L51" i="4"/>
  <c r="L40" i="4"/>
  <c r="L29" i="4"/>
  <c r="L19" i="4"/>
  <c r="L8" i="4"/>
  <c r="M95" i="4"/>
  <c r="M85" i="4"/>
  <c r="M74" i="4"/>
  <c r="M63" i="4"/>
  <c r="M53" i="4"/>
  <c r="M42" i="4"/>
  <c r="M31" i="4"/>
  <c r="M21" i="4"/>
  <c r="M10" i="4"/>
  <c r="G7" i="8"/>
  <c r="G2" i="8"/>
  <c r="G6" i="8"/>
  <c r="G5" i="8"/>
  <c r="G4" i="8"/>
  <c r="G3" i="8"/>
  <c r="H7" i="8"/>
  <c r="I7" i="8" s="1"/>
  <c r="H6" i="8"/>
  <c r="I6" i="8" s="1"/>
  <c r="H5" i="8"/>
  <c r="I5" i="8" s="1"/>
  <c r="H4" i="8"/>
  <c r="I4" i="8" s="1"/>
  <c r="H3" i="8"/>
  <c r="I3" i="8" s="1"/>
  <c r="H2" i="8"/>
  <c r="I2" i="8" s="1"/>
  <c r="F3" i="8"/>
  <c r="F2" i="8"/>
  <c r="F7" i="8"/>
  <c r="F6" i="8"/>
  <c r="F5" i="8"/>
  <c r="F4" i="8"/>
  <c r="H42" i="7"/>
  <c r="H34" i="7"/>
  <c r="H26" i="7"/>
  <c r="H18" i="7"/>
  <c r="H10" i="7"/>
  <c r="H49" i="7"/>
  <c r="H9" i="7"/>
  <c r="H47" i="7"/>
  <c r="H39" i="7"/>
  <c r="H31" i="7"/>
  <c r="H23" i="7"/>
  <c r="H15" i="7"/>
  <c r="H7" i="7"/>
  <c r="H33" i="7"/>
  <c r="H16" i="7"/>
  <c r="H46" i="7"/>
  <c r="H38" i="7"/>
  <c r="H30" i="7"/>
  <c r="H22" i="7"/>
  <c r="H14" i="7"/>
  <c r="H6" i="7"/>
  <c r="H41" i="7"/>
  <c r="H48" i="7"/>
  <c r="H32" i="7"/>
  <c r="H45" i="7"/>
  <c r="H37" i="7"/>
  <c r="H29" i="7"/>
  <c r="H21" i="7"/>
  <c r="H13" i="7"/>
  <c r="H5" i="7"/>
  <c r="H25" i="7"/>
  <c r="H40" i="7"/>
  <c r="H44" i="7"/>
  <c r="H36" i="7"/>
  <c r="H28" i="7"/>
  <c r="H20" i="7"/>
  <c r="H12" i="7"/>
  <c r="H4" i="7"/>
  <c r="H17" i="7"/>
  <c r="H24" i="7"/>
  <c r="H43" i="7"/>
  <c r="H35" i="7"/>
  <c r="H27" i="7"/>
  <c r="H19" i="7"/>
  <c r="H11" i="7"/>
  <c r="H3" i="7"/>
  <c r="H2" i="7"/>
  <c r="F10" i="7"/>
  <c r="F9" i="7"/>
  <c r="F40" i="7"/>
  <c r="F32" i="7"/>
  <c r="F24" i="7"/>
  <c r="F16" i="7"/>
  <c r="F8" i="7"/>
  <c r="F7" i="7"/>
  <c r="F45" i="7"/>
  <c r="F37" i="7"/>
  <c r="F29" i="7"/>
  <c r="F21" i="7"/>
  <c r="F5" i="7"/>
  <c r="F44" i="7"/>
  <c r="F36" i="7"/>
  <c r="F28" i="7"/>
  <c r="F20" i="7"/>
  <c r="F12" i="7"/>
  <c r="F4" i="7"/>
  <c r="F2" i="7"/>
  <c r="F42" i="7"/>
  <c r="F34" i="7"/>
  <c r="F26" i="7"/>
  <c r="F18" i="7"/>
  <c r="F48" i="7"/>
  <c r="F13" i="7"/>
  <c r="F43" i="7"/>
  <c r="F35" i="7"/>
  <c r="F27" i="7"/>
  <c r="F19" i="7"/>
  <c r="F11" i="7"/>
  <c r="F3" i="7"/>
  <c r="F47" i="7"/>
  <c r="F49" i="7"/>
  <c r="F41" i="7"/>
  <c r="F33" i="7"/>
  <c r="F25" i="7"/>
  <c r="F17" i="7"/>
  <c r="F23" i="7"/>
  <c r="F46" i="7"/>
  <c r="F38" i="7"/>
  <c r="F30" i="7"/>
  <c r="F22" i="7"/>
  <c r="F14" i="7"/>
  <c r="F6" i="7"/>
  <c r="F15" i="7"/>
  <c r="F31" i="7"/>
  <c r="F39" i="7"/>
  <c r="K11" i="4"/>
  <c r="J75" i="4"/>
  <c r="J43" i="4"/>
  <c r="K86" i="4"/>
  <c r="K54" i="4"/>
  <c r="K98" i="4"/>
  <c r="K90" i="4"/>
  <c r="K82" i="4"/>
  <c r="J74" i="4"/>
  <c r="K66" i="4"/>
  <c r="K58" i="4"/>
  <c r="K50" i="4"/>
  <c r="K42" i="4"/>
  <c r="J34" i="4"/>
  <c r="K26" i="4"/>
  <c r="K18" i="4"/>
  <c r="K10" i="4"/>
  <c r="J6" i="4"/>
  <c r="K97" i="4"/>
  <c r="K89" i="4"/>
  <c r="K81" i="4"/>
  <c r="K73" i="4"/>
  <c r="K65" i="4"/>
  <c r="K57" i="4"/>
  <c r="K49" i="4"/>
  <c r="K41" i="4"/>
  <c r="K33" i="4"/>
  <c r="K25" i="4"/>
  <c r="K17" i="4"/>
  <c r="K9" i="4"/>
  <c r="J96" i="4"/>
  <c r="J88" i="4"/>
  <c r="J80" i="4"/>
  <c r="J72" i="4"/>
  <c r="J64" i="4"/>
  <c r="J56" i="4"/>
  <c r="J48" i="4"/>
  <c r="J40" i="4"/>
  <c r="J32" i="4"/>
  <c r="K24" i="4"/>
  <c r="K16" i="4"/>
  <c r="K8" i="4"/>
  <c r="J10" i="4"/>
  <c r="P10" i="4" s="1"/>
  <c r="J9" i="4"/>
  <c r="P9" i="4" s="1"/>
  <c r="J90" i="4"/>
  <c r="P90" i="4" s="1"/>
  <c r="J26" i="4"/>
  <c r="P26" i="4" s="1"/>
  <c r="J97" i="4"/>
  <c r="J25" i="4"/>
  <c r="J24" i="4"/>
  <c r="J16" i="4"/>
  <c r="J8" i="4"/>
  <c r="P8" i="4" s="1"/>
  <c r="J98" i="4"/>
  <c r="J82" i="4"/>
  <c r="J66" i="4"/>
  <c r="J58" i="4"/>
  <c r="J50" i="4"/>
  <c r="J42" i="4"/>
  <c r="J18" i="4"/>
  <c r="J89" i="4"/>
  <c r="J81" i="4"/>
  <c r="J73" i="4"/>
  <c r="J65" i="4"/>
  <c r="P65" i="4" s="1"/>
  <c r="J57" i="4"/>
  <c r="J49" i="4"/>
  <c r="J41" i="4"/>
  <c r="J17" i="4"/>
  <c r="K74" i="4"/>
  <c r="K34" i="4"/>
  <c r="J33" i="4"/>
  <c r="P33" i="4" s="1"/>
  <c r="M258" i="3"/>
  <c r="M250" i="3"/>
  <c r="M218" i="3"/>
  <c r="M210" i="3"/>
  <c r="M194" i="3"/>
  <c r="M186" i="3"/>
  <c r="M170" i="3"/>
  <c r="M138" i="3"/>
  <c r="M130" i="3"/>
  <c r="M114" i="3"/>
  <c r="M106" i="3"/>
  <c r="M90" i="3"/>
  <c r="M82" i="3"/>
  <c r="M66" i="3"/>
  <c r="M58" i="3"/>
  <c r="M42" i="3"/>
  <c r="M34" i="3"/>
  <c r="M26" i="3"/>
  <c r="M257" i="3"/>
  <c r="M249" i="3"/>
  <c r="M241" i="3"/>
  <c r="M233" i="3"/>
  <c r="M225" i="3"/>
  <c r="M217" i="3"/>
  <c r="M209" i="3"/>
  <c r="M201" i="3"/>
  <c r="M193" i="3"/>
  <c r="M185" i="3"/>
  <c r="M177" i="3"/>
  <c r="M169" i="3"/>
  <c r="M161" i="3"/>
  <c r="M153" i="3"/>
  <c r="M145" i="3"/>
  <c r="M137" i="3"/>
  <c r="M129" i="3"/>
  <c r="M121" i="3"/>
  <c r="M113" i="3"/>
  <c r="M105" i="3"/>
  <c r="M97" i="3"/>
  <c r="M89" i="3"/>
  <c r="M81" i="3"/>
  <c r="M73" i="3"/>
  <c r="M65" i="3"/>
  <c r="M57" i="3"/>
  <c r="M49" i="3"/>
  <c r="M41" i="3"/>
  <c r="M33" i="3"/>
  <c r="M25" i="3"/>
  <c r="M234" i="3"/>
  <c r="M202" i="3"/>
  <c r="M178" i="3"/>
  <c r="M154" i="3"/>
  <c r="M122" i="3"/>
  <c r="M98" i="3"/>
  <c r="M74" i="3"/>
  <c r="M50" i="3"/>
  <c r="M256" i="3"/>
  <c r="M248" i="3"/>
  <c r="M240" i="3"/>
  <c r="M232" i="3"/>
  <c r="M224" i="3"/>
  <c r="M216" i="3"/>
  <c r="M208" i="3"/>
  <c r="M200" i="3"/>
  <c r="M192" i="3"/>
  <c r="M184" i="3"/>
  <c r="M176" i="3"/>
  <c r="M168" i="3"/>
  <c r="M160" i="3"/>
  <c r="M152" i="3"/>
  <c r="M144" i="3"/>
  <c r="M136" i="3"/>
  <c r="M128" i="3"/>
  <c r="M120" i="3"/>
  <c r="M112" i="3"/>
  <c r="M104" i="3"/>
  <c r="M96" i="3"/>
  <c r="M88" i="3"/>
  <c r="M80" i="3"/>
  <c r="M72" i="3"/>
  <c r="M64" i="3"/>
  <c r="M56" i="3"/>
  <c r="M48" i="3"/>
  <c r="M40" i="3"/>
  <c r="M32" i="3"/>
  <c r="M24" i="3"/>
  <c r="M242" i="3"/>
  <c r="M162" i="3"/>
  <c r="M255" i="3"/>
  <c r="M247" i="3"/>
  <c r="M239" i="3"/>
  <c r="M231" i="3"/>
  <c r="M223" i="3"/>
  <c r="M215" i="3"/>
  <c r="M207" i="3"/>
  <c r="M199" i="3"/>
  <c r="M191" i="3"/>
  <c r="M183" i="3"/>
  <c r="M175" i="3"/>
  <c r="M167" i="3"/>
  <c r="M159" i="3"/>
  <c r="M151" i="3"/>
  <c r="M143" i="3"/>
  <c r="M135" i="3"/>
  <c r="M127" i="3"/>
  <c r="M119" i="3"/>
  <c r="M111" i="3"/>
  <c r="M103" i="3"/>
  <c r="M95" i="3"/>
  <c r="M87" i="3"/>
  <c r="M79" i="3"/>
  <c r="M71" i="3"/>
  <c r="M63" i="3"/>
  <c r="M55" i="3"/>
  <c r="M47" i="3"/>
  <c r="M39" i="3"/>
  <c r="M31" i="3"/>
  <c r="M23" i="3"/>
  <c r="M226" i="3"/>
  <c r="M146" i="3"/>
  <c r="P82" i="4" l="1"/>
  <c r="P98" i="4"/>
  <c r="P24" i="4"/>
  <c r="N13" i="4"/>
  <c r="Q13" i="4" s="1"/>
  <c r="P73" i="4"/>
  <c r="P18" i="4"/>
  <c r="P16" i="4"/>
  <c r="J99" i="4"/>
  <c r="K48" i="4"/>
  <c r="J35" i="4"/>
  <c r="J95" i="4"/>
  <c r="P41" i="4"/>
  <c r="P74" i="4"/>
  <c r="P57" i="4"/>
  <c r="P58" i="4"/>
  <c r="P97" i="4"/>
  <c r="P81" i="4"/>
  <c r="P17" i="4"/>
  <c r="P42" i="4"/>
  <c r="P49" i="4"/>
  <c r="P50" i="4"/>
  <c r="P25" i="4"/>
  <c r="P66" i="4"/>
  <c r="P34" i="4"/>
  <c r="P48" i="4"/>
  <c r="P89" i="4"/>
  <c r="J55" i="4"/>
  <c r="K31" i="4"/>
  <c r="O31" i="4"/>
  <c r="N31" i="4"/>
  <c r="Q31" i="4" s="1"/>
  <c r="J19" i="4"/>
  <c r="K19" i="4"/>
  <c r="J11" i="4"/>
  <c r="P11" i="4" s="1"/>
  <c r="N11" i="4"/>
  <c r="Q11" i="4" s="1"/>
  <c r="O11" i="4"/>
  <c r="K96" i="4"/>
  <c r="P96" i="4" s="1"/>
  <c r="N96" i="4"/>
  <c r="Q96" i="4" s="1"/>
  <c r="O96" i="4"/>
  <c r="J84" i="4"/>
  <c r="K84" i="4"/>
  <c r="O84" i="4"/>
  <c r="N84" i="4"/>
  <c r="Q84" i="4" s="1"/>
  <c r="O20" i="4"/>
  <c r="N20" i="4"/>
  <c r="Q20" i="4" s="1"/>
  <c r="N65" i="4"/>
  <c r="Q65" i="4" s="1"/>
  <c r="O65" i="4"/>
  <c r="N8" i="4"/>
  <c r="Q8" i="4" s="1"/>
  <c r="O8" i="4"/>
  <c r="O23" i="4"/>
  <c r="N23" i="4"/>
  <c r="Q23" i="4" s="1"/>
  <c r="O78" i="4"/>
  <c r="N78" i="4"/>
  <c r="Q78" i="4" s="1"/>
  <c r="O47" i="4"/>
  <c r="N47" i="4"/>
  <c r="Q47" i="4" s="1"/>
  <c r="J2" i="4"/>
  <c r="K2" i="4"/>
  <c r="J91" i="4"/>
  <c r="N91" i="4"/>
  <c r="Q91" i="4" s="1"/>
  <c r="O91" i="4"/>
  <c r="J78" i="4"/>
  <c r="K78" i="4"/>
  <c r="J3" i="4"/>
  <c r="K3" i="4"/>
  <c r="J39" i="4"/>
  <c r="K39" i="4"/>
  <c r="O39" i="4"/>
  <c r="N39" i="4"/>
  <c r="Q39" i="4" s="1"/>
  <c r="K37" i="4"/>
  <c r="J37" i="4"/>
  <c r="N3" i="4"/>
  <c r="Q3" i="4" s="1"/>
  <c r="O3" i="4"/>
  <c r="O94" i="4"/>
  <c r="N94" i="4"/>
  <c r="Q94" i="4" s="1"/>
  <c r="N42" i="4"/>
  <c r="Q42" i="4" s="1"/>
  <c r="O42" i="4"/>
  <c r="J29" i="4"/>
  <c r="K29" i="4"/>
  <c r="J22" i="4"/>
  <c r="O22" i="4"/>
  <c r="N22" i="4"/>
  <c r="Q22" i="4" s="1"/>
  <c r="J94" i="4"/>
  <c r="K94" i="4"/>
  <c r="O76" i="4"/>
  <c r="N76" i="4"/>
  <c r="Q76" i="4" s="1"/>
  <c r="O12" i="4"/>
  <c r="N12" i="4"/>
  <c r="Q12" i="4" s="1"/>
  <c r="N57" i="4"/>
  <c r="Q57" i="4" s="1"/>
  <c r="O57" i="4"/>
  <c r="K7" i="4"/>
  <c r="O7" i="4"/>
  <c r="N7" i="4"/>
  <c r="Q7" i="4" s="1"/>
  <c r="N34" i="4"/>
  <c r="Q34" i="4" s="1"/>
  <c r="O34" i="4"/>
  <c r="K21" i="4"/>
  <c r="J21" i="4"/>
  <c r="K88" i="4"/>
  <c r="P88" i="4" s="1"/>
  <c r="N88" i="4"/>
  <c r="Q88" i="4" s="1"/>
  <c r="O88" i="4"/>
  <c r="K76" i="4"/>
  <c r="J76" i="4"/>
  <c r="P76" i="4" s="1"/>
  <c r="N58" i="4"/>
  <c r="Q58" i="4" s="1"/>
  <c r="O58" i="4"/>
  <c r="J45" i="4"/>
  <c r="K45" i="4"/>
  <c r="N16" i="4"/>
  <c r="Q16" i="4" s="1"/>
  <c r="O16" i="4"/>
  <c r="K4" i="4"/>
  <c r="J4" i="4"/>
  <c r="P4" i="4" s="1"/>
  <c r="J31" i="4"/>
  <c r="N50" i="4"/>
  <c r="Q50" i="4" s="1"/>
  <c r="O50" i="4"/>
  <c r="N19" i="4"/>
  <c r="Q19" i="4" s="1"/>
  <c r="O19" i="4"/>
  <c r="K92" i="4"/>
  <c r="J92" i="4"/>
  <c r="P92" i="4" s="1"/>
  <c r="O53" i="4"/>
  <c r="N53" i="4"/>
  <c r="Q53" i="4" s="1"/>
  <c r="K32" i="4"/>
  <c r="P32" i="4" s="1"/>
  <c r="N32" i="4"/>
  <c r="Q32" i="4" s="1"/>
  <c r="O32" i="4"/>
  <c r="J20" i="4"/>
  <c r="K20" i="4"/>
  <c r="O68" i="4"/>
  <c r="N68" i="4"/>
  <c r="Q68" i="4" s="1"/>
  <c r="O4" i="4"/>
  <c r="N4" i="4"/>
  <c r="Q4" i="4" s="1"/>
  <c r="N49" i="4"/>
  <c r="Q49" i="4" s="1"/>
  <c r="O49" i="4"/>
  <c r="K6" i="4"/>
  <c r="P6" i="4" s="1"/>
  <c r="O6" i="4"/>
  <c r="N6" i="4"/>
  <c r="Q6" i="4" s="1"/>
  <c r="O45" i="4"/>
  <c r="N45" i="4"/>
  <c r="Q45" i="4" s="1"/>
  <c r="O14" i="4"/>
  <c r="N14" i="4"/>
  <c r="Q14" i="4" s="1"/>
  <c r="K99" i="4"/>
  <c r="P99" i="4" s="1"/>
  <c r="N99" i="4"/>
  <c r="Q99" i="4" s="1"/>
  <c r="O99" i="4"/>
  <c r="O69" i="4"/>
  <c r="N69" i="4"/>
  <c r="Q69" i="4" s="1"/>
  <c r="J27" i="4"/>
  <c r="N27" i="4"/>
  <c r="Q27" i="4" s="1"/>
  <c r="O27" i="4"/>
  <c r="J14" i="4"/>
  <c r="K14" i="4"/>
  <c r="J100" i="4"/>
  <c r="K100" i="4"/>
  <c r="J87" i="4"/>
  <c r="J23" i="4"/>
  <c r="K23" i="4"/>
  <c r="O61" i="4"/>
  <c r="N61" i="4"/>
  <c r="Q61" i="4" s="1"/>
  <c r="K59" i="4"/>
  <c r="O30" i="4"/>
  <c r="N30" i="4"/>
  <c r="Q30" i="4" s="1"/>
  <c r="K63" i="4"/>
  <c r="O63" i="4"/>
  <c r="N63" i="4"/>
  <c r="Q63" i="4" s="1"/>
  <c r="K51" i="4"/>
  <c r="J51" i="4"/>
  <c r="K43" i="4"/>
  <c r="P43" i="4" s="1"/>
  <c r="N43" i="4"/>
  <c r="Q43" i="4" s="1"/>
  <c r="O43" i="4"/>
  <c r="K30" i="4"/>
  <c r="J30" i="4"/>
  <c r="O60" i="4"/>
  <c r="N60" i="4"/>
  <c r="Q60" i="4" s="1"/>
  <c r="N41" i="4"/>
  <c r="Q41" i="4" s="1"/>
  <c r="O41" i="4"/>
  <c r="O5" i="4"/>
  <c r="N5" i="4"/>
  <c r="Q5" i="4" s="1"/>
  <c r="K55" i="4"/>
  <c r="P55" i="4" s="1"/>
  <c r="O55" i="4"/>
  <c r="N55" i="4"/>
  <c r="Q55" i="4" s="1"/>
  <c r="N24" i="4"/>
  <c r="Q24" i="4" s="1"/>
  <c r="O24" i="4"/>
  <c r="K12" i="4"/>
  <c r="J12" i="4"/>
  <c r="O79" i="4"/>
  <c r="N79" i="4"/>
  <c r="Q79" i="4" s="1"/>
  <c r="J67" i="4"/>
  <c r="J38" i="4"/>
  <c r="O38" i="4"/>
  <c r="N38" i="4"/>
  <c r="Q38" i="4" s="1"/>
  <c r="O2" i="4"/>
  <c r="N2" i="4"/>
  <c r="Q2" i="4" s="1"/>
  <c r="J79" i="4"/>
  <c r="K79" i="4"/>
  <c r="J15" i="4"/>
  <c r="K15" i="4"/>
  <c r="O71" i="4"/>
  <c r="N71" i="4"/>
  <c r="Q71" i="4" s="1"/>
  <c r="K69" i="4"/>
  <c r="J69" i="4"/>
  <c r="K40" i="4"/>
  <c r="P40" i="4" s="1"/>
  <c r="N40" i="4"/>
  <c r="Q40" i="4" s="1"/>
  <c r="O40" i="4"/>
  <c r="K28" i="4"/>
  <c r="J28" i="4"/>
  <c r="K5" i="4"/>
  <c r="N74" i="4"/>
  <c r="Q74" i="4" s="1"/>
  <c r="O74" i="4"/>
  <c r="K61" i="4"/>
  <c r="J61" i="4"/>
  <c r="P61" i="4" s="1"/>
  <c r="J54" i="4"/>
  <c r="P54" i="4" s="1"/>
  <c r="O54" i="4"/>
  <c r="N54" i="4"/>
  <c r="Q54" i="4" s="1"/>
  <c r="O52" i="4"/>
  <c r="N52" i="4"/>
  <c r="Q52" i="4" s="1"/>
  <c r="N97" i="4"/>
  <c r="Q97" i="4" s="1"/>
  <c r="O97" i="4"/>
  <c r="N33" i="4"/>
  <c r="Q33" i="4" s="1"/>
  <c r="O33" i="4"/>
  <c r="N66" i="4"/>
  <c r="Q66" i="4" s="1"/>
  <c r="O66" i="4"/>
  <c r="K53" i="4"/>
  <c r="J53" i="4"/>
  <c r="K35" i="4"/>
  <c r="P35" i="4" s="1"/>
  <c r="N35" i="4"/>
  <c r="Q35" i="4" s="1"/>
  <c r="O35" i="4"/>
  <c r="K22" i="4"/>
  <c r="N90" i="4"/>
  <c r="Q90" i="4" s="1"/>
  <c r="O90" i="4"/>
  <c r="J77" i="4"/>
  <c r="K77" i="4"/>
  <c r="N48" i="4"/>
  <c r="Q48" i="4" s="1"/>
  <c r="O48" i="4"/>
  <c r="K36" i="4"/>
  <c r="J36" i="4"/>
  <c r="J71" i="4"/>
  <c r="K71" i="4"/>
  <c r="J7" i="4"/>
  <c r="P7" i="4" s="1"/>
  <c r="N82" i="4"/>
  <c r="Q82" i="4" s="1"/>
  <c r="O82" i="4"/>
  <c r="K80" i="4"/>
  <c r="P80" i="4" s="1"/>
  <c r="N51" i="4"/>
  <c r="Q51" i="4" s="1"/>
  <c r="O51" i="4"/>
  <c r="K38" i="4"/>
  <c r="J5" i="4"/>
  <c r="O85" i="4"/>
  <c r="N85" i="4"/>
  <c r="Q85" i="4" s="1"/>
  <c r="K64" i="4"/>
  <c r="P64" i="4" s="1"/>
  <c r="N64" i="4"/>
  <c r="Q64" i="4" s="1"/>
  <c r="O64" i="4"/>
  <c r="K52" i="4"/>
  <c r="J52" i="4"/>
  <c r="O44" i="4"/>
  <c r="N44" i="4"/>
  <c r="Q44" i="4" s="1"/>
  <c r="N89" i="4"/>
  <c r="Q89" i="4" s="1"/>
  <c r="O89" i="4"/>
  <c r="N25" i="4"/>
  <c r="Q25" i="4" s="1"/>
  <c r="O25" i="4"/>
  <c r="O77" i="4"/>
  <c r="N77" i="4"/>
  <c r="Q77" i="4" s="1"/>
  <c r="O46" i="4"/>
  <c r="N46" i="4"/>
  <c r="Q46" i="4" s="1"/>
  <c r="O15" i="4"/>
  <c r="N15" i="4"/>
  <c r="Q15" i="4" s="1"/>
  <c r="O101" i="4"/>
  <c r="N101" i="4"/>
  <c r="Q101" i="4" s="1"/>
  <c r="J59" i="4"/>
  <c r="P59" i="4" s="1"/>
  <c r="N59" i="4"/>
  <c r="Q59" i="4" s="1"/>
  <c r="O59" i="4"/>
  <c r="J46" i="4"/>
  <c r="K46" i="4"/>
  <c r="J63" i="4"/>
  <c r="O93" i="4"/>
  <c r="N93" i="4"/>
  <c r="Q93" i="4" s="1"/>
  <c r="K91" i="4"/>
  <c r="O62" i="4"/>
  <c r="N62" i="4"/>
  <c r="Q62" i="4" s="1"/>
  <c r="N10" i="4"/>
  <c r="Q10" i="4" s="1"/>
  <c r="O10" i="4"/>
  <c r="K95" i="4"/>
  <c r="P95" i="4" s="1"/>
  <c r="O95" i="4"/>
  <c r="N95" i="4"/>
  <c r="Q95" i="4" s="1"/>
  <c r="K83" i="4"/>
  <c r="J83" i="4"/>
  <c r="K75" i="4"/>
  <c r="P75" i="4" s="1"/>
  <c r="N75" i="4"/>
  <c r="Q75" i="4" s="1"/>
  <c r="O75" i="4"/>
  <c r="J62" i="4"/>
  <c r="K62" i="4"/>
  <c r="O100" i="4"/>
  <c r="N100" i="4"/>
  <c r="Q100" i="4" s="1"/>
  <c r="O36" i="4"/>
  <c r="N36" i="4"/>
  <c r="Q36" i="4" s="1"/>
  <c r="N81" i="4"/>
  <c r="Q81" i="4" s="1"/>
  <c r="O81" i="4"/>
  <c r="N17" i="4"/>
  <c r="Q17" i="4" s="1"/>
  <c r="O17" i="4"/>
  <c r="K87" i="4"/>
  <c r="O87" i="4"/>
  <c r="N87" i="4"/>
  <c r="Q87" i="4" s="1"/>
  <c r="K56" i="4"/>
  <c r="P56" i="4" s="1"/>
  <c r="N56" i="4"/>
  <c r="Q56" i="4" s="1"/>
  <c r="O56" i="4"/>
  <c r="J44" i="4"/>
  <c r="K44" i="4"/>
  <c r="N26" i="4"/>
  <c r="Q26" i="4" s="1"/>
  <c r="O26" i="4"/>
  <c r="K13" i="4"/>
  <c r="J13" i="4"/>
  <c r="J70" i="4"/>
  <c r="O70" i="4"/>
  <c r="N70" i="4"/>
  <c r="Q70" i="4" s="1"/>
  <c r="N18" i="4"/>
  <c r="Q18" i="4" s="1"/>
  <c r="O18" i="4"/>
  <c r="K101" i="4"/>
  <c r="J101" i="4"/>
  <c r="K72" i="4"/>
  <c r="P72" i="4" s="1"/>
  <c r="N72" i="4"/>
  <c r="Q72" i="4" s="1"/>
  <c r="O72" i="4"/>
  <c r="K60" i="4"/>
  <c r="J60" i="4"/>
  <c r="O21" i="4"/>
  <c r="N21" i="4"/>
  <c r="Q21" i="4" s="1"/>
  <c r="K93" i="4"/>
  <c r="J93" i="4"/>
  <c r="J86" i="4"/>
  <c r="P86" i="4" s="1"/>
  <c r="O86" i="4"/>
  <c r="N86" i="4"/>
  <c r="Q86" i="4" s="1"/>
  <c r="O92" i="4"/>
  <c r="N92" i="4"/>
  <c r="Q92" i="4" s="1"/>
  <c r="O28" i="4"/>
  <c r="N28" i="4"/>
  <c r="Q28" i="4" s="1"/>
  <c r="N73" i="4"/>
  <c r="Q73" i="4" s="1"/>
  <c r="O73" i="4"/>
  <c r="N9" i="4"/>
  <c r="Q9" i="4" s="1"/>
  <c r="O9" i="4"/>
  <c r="N98" i="4"/>
  <c r="Q98" i="4" s="1"/>
  <c r="O98" i="4"/>
  <c r="J85" i="4"/>
  <c r="K85" i="4"/>
  <c r="K67" i="4"/>
  <c r="N67" i="4"/>
  <c r="Q67" i="4" s="1"/>
  <c r="O67" i="4"/>
  <c r="O37" i="4"/>
  <c r="N37" i="4"/>
  <c r="Q37" i="4" s="1"/>
  <c r="N80" i="4"/>
  <c r="Q80" i="4" s="1"/>
  <c r="O80" i="4"/>
  <c r="K68" i="4"/>
  <c r="J68" i="4"/>
  <c r="J47" i="4"/>
  <c r="P47" i="4" s="1"/>
  <c r="K47" i="4"/>
  <c r="O29" i="4"/>
  <c r="N29" i="4"/>
  <c r="Q29" i="4" s="1"/>
  <c r="K27" i="4"/>
  <c r="N83" i="4"/>
  <c r="Q83" i="4" s="1"/>
  <c r="O83" i="4"/>
  <c r="K70" i="4"/>
  <c r="P2" i="4" l="1"/>
  <c r="P71" i="4"/>
  <c r="P45" i="4"/>
  <c r="P60" i="4"/>
  <c r="P5" i="4"/>
  <c r="P69" i="4"/>
  <c r="P12" i="4"/>
  <c r="P46" i="4"/>
  <c r="P77" i="4"/>
  <c r="P51" i="4"/>
  <c r="P14" i="4"/>
  <c r="P39" i="4"/>
  <c r="P21" i="4"/>
  <c r="P85" i="4"/>
  <c r="P36" i="4"/>
  <c r="P15" i="4"/>
  <c r="P67" i="4"/>
  <c r="P30" i="4"/>
  <c r="P23" i="4"/>
  <c r="P27" i="4"/>
  <c r="P31" i="4"/>
  <c r="P37" i="4"/>
  <c r="P87" i="4"/>
  <c r="P29" i="4"/>
  <c r="P44" i="4"/>
  <c r="P62" i="4"/>
  <c r="P63" i="4"/>
  <c r="P100" i="4"/>
  <c r="P78" i="4"/>
  <c r="P79" i="4"/>
  <c r="P53" i="4"/>
  <c r="P20" i="4"/>
  <c r="P94" i="4"/>
  <c r="P91" i="4"/>
  <c r="P70" i="4"/>
  <c r="P68" i="4"/>
  <c r="P93" i="4"/>
  <c r="P13" i="4"/>
  <c r="P28" i="4"/>
  <c r="P84" i="4"/>
  <c r="P19" i="4"/>
  <c r="P101" i="4"/>
  <c r="P83" i="4"/>
  <c r="P52" i="4"/>
  <c r="P38" i="4"/>
  <c r="P22" i="4"/>
  <c r="P3" i="4"/>
</calcChain>
</file>

<file path=xl/sharedStrings.xml><?xml version="1.0" encoding="utf-8"?>
<sst xmlns="http://schemas.openxmlformats.org/spreadsheetml/2006/main" count="638" uniqueCount="175">
  <si>
    <t>Semana</t>
  </si>
  <si>
    <t>Fecha</t>
  </si>
  <si>
    <t>Mes</t>
  </si>
  <si>
    <t>Tipo de fibra</t>
  </si>
  <si>
    <t>Turno</t>
  </si>
  <si>
    <t>Operador ID</t>
  </si>
  <si>
    <t>RETEX-2024-001</t>
  </si>
  <si>
    <t>RETEX-2024-002</t>
  </si>
  <si>
    <t>RETEX-2024-003</t>
  </si>
  <si>
    <t>RETEX-2024-004</t>
  </si>
  <si>
    <t>RETEX-2024-005</t>
  </si>
  <si>
    <t>Algodón</t>
  </si>
  <si>
    <t>Poliéster</t>
  </si>
  <si>
    <t>Mezcla</t>
  </si>
  <si>
    <t>Matutino</t>
  </si>
  <si>
    <t>Vespertino</t>
  </si>
  <si>
    <t>Nocturno</t>
  </si>
  <si>
    <t>RETEX-2024-006</t>
  </si>
  <si>
    <t>RETEX-2024-007</t>
  </si>
  <si>
    <t>RETEX-2024-008</t>
  </si>
  <si>
    <t>RETEX-2024-009</t>
  </si>
  <si>
    <t>RETEX-2024-010</t>
  </si>
  <si>
    <t>RETEX-2024-011</t>
  </si>
  <si>
    <t>RETEX-2024-012</t>
  </si>
  <si>
    <t>RETEX-2024-013</t>
  </si>
  <si>
    <t>RETEX-2024-014</t>
  </si>
  <si>
    <t>RETEX-2024-015</t>
  </si>
  <si>
    <t>RETEX-2024-016</t>
  </si>
  <si>
    <t>RETEX-2024-017</t>
  </si>
  <si>
    <t>RETEX-2024-018</t>
  </si>
  <si>
    <t>RETEX-2024-019</t>
  </si>
  <si>
    <t>RETEX-2024-020</t>
  </si>
  <si>
    <t>RETEX-2024-021</t>
  </si>
  <si>
    <t>RETEX-2024-022</t>
  </si>
  <si>
    <t>RETEX-2024-023</t>
  </si>
  <si>
    <t>RETEX-2024-024</t>
  </si>
  <si>
    <t>RETEX-2024-025</t>
  </si>
  <si>
    <t>RETEX-2024-026</t>
  </si>
  <si>
    <t>RETEX-2024-027</t>
  </si>
  <si>
    <t>RETEX-2024-028</t>
  </si>
  <si>
    <t>RETEX-2024-029</t>
  </si>
  <si>
    <t>RETEX-2024-030</t>
  </si>
  <si>
    <t>RETEX-2024-031</t>
  </si>
  <si>
    <t>RETEX-2024-032</t>
  </si>
  <si>
    <t>RETEX-2024-033</t>
  </si>
  <si>
    <t>RETEX-2024-034</t>
  </si>
  <si>
    <t>RETEX-2024-035</t>
  </si>
  <si>
    <t>RETEX-2024-036</t>
  </si>
  <si>
    <t>RETEX-2024-037</t>
  </si>
  <si>
    <t>RETEX-2024-038</t>
  </si>
  <si>
    <t>RETEX-2024-039</t>
  </si>
  <si>
    <t>RETEX-2024-040</t>
  </si>
  <si>
    <t>RETEX-2024-041</t>
  </si>
  <si>
    <t>RETEX-2024-042</t>
  </si>
  <si>
    <t>RETEX-2024-043</t>
  </si>
  <si>
    <t>RETEX-2024-044</t>
  </si>
  <si>
    <t>RETEX-2024-045</t>
  </si>
  <si>
    <t>RETEX-2024-046</t>
  </si>
  <si>
    <t>RETEX-2024-047</t>
  </si>
  <si>
    <t>RETEX-2024-048</t>
  </si>
  <si>
    <t>RETEX-2024-049</t>
  </si>
  <si>
    <t>RETEX-2024-050</t>
  </si>
  <si>
    <t>RETEX-2024-051</t>
  </si>
  <si>
    <t>RETEX-2024-052</t>
  </si>
  <si>
    <t>OP-01</t>
  </si>
  <si>
    <t>OP-02</t>
  </si>
  <si>
    <t>OP-03</t>
  </si>
  <si>
    <t>OP-04</t>
  </si>
  <si>
    <t>OP-05</t>
  </si>
  <si>
    <t>OP-06</t>
  </si>
  <si>
    <t>LI</t>
  </si>
  <si>
    <t>LS</t>
  </si>
  <si>
    <t>Resultado</t>
  </si>
  <si>
    <t>Estado del proceso</t>
  </si>
  <si>
    <t>ID_Lote</t>
  </si>
  <si>
    <t>Tipo_fibra</t>
  </si>
  <si>
    <t>Operador_ID</t>
  </si>
  <si>
    <t>Volumen_kg</t>
  </si>
  <si>
    <t>ID_Medicion</t>
  </si>
  <si>
    <t>Pureza_%</t>
  </si>
  <si>
    <t>Media_Acumulada</t>
  </si>
  <si>
    <t>Sigma_Acumulada</t>
  </si>
  <si>
    <t>Cp_Acumulado</t>
  </si>
  <si>
    <t>Cpk_Acumulado</t>
  </si>
  <si>
    <t>Estado_proceso</t>
  </si>
  <si>
    <t>Desviacion_vs_Media</t>
  </si>
  <si>
    <t>ID_Subgrupo</t>
  </si>
  <si>
    <t>Num_Paca</t>
  </si>
  <si>
    <t>Peso_kg</t>
  </si>
  <si>
    <t>Media_Subgrupo</t>
  </si>
  <si>
    <t>Rango_Subgrupo</t>
  </si>
  <si>
    <t>LCS_Xbarra</t>
  </si>
  <si>
    <t>LCI_Xbarra</t>
  </si>
  <si>
    <t>Media_Medias</t>
  </si>
  <si>
    <t>Rango_Medio</t>
  </si>
  <si>
    <t>LCS_R</t>
  </si>
  <si>
    <t>LCI_R</t>
  </si>
  <si>
    <t>Señal_Xbarra</t>
  </si>
  <si>
    <t>Señal_R</t>
  </si>
  <si>
    <t>ID_KPI</t>
  </si>
  <si>
    <t>Tipo_KPI</t>
  </si>
  <si>
    <t>Valor_Medido</t>
  </si>
  <si>
    <t>Umbral_Alerta</t>
  </si>
  <si>
    <t>Unidad</t>
  </si>
  <si>
    <t>Semaforo</t>
  </si>
  <si>
    <t>Responsable</t>
  </si>
  <si>
    <t>IPL</t>
  </si>
  <si>
    <t>RS</t>
  </si>
  <si>
    <t>VH</t>
  </si>
  <si>
    <t>TR</t>
  </si>
  <si>
    <t>TEC</t>
  </si>
  <si>
    <t>CPK_MENSUAL</t>
  </si>
  <si>
    <t>ID_Costo</t>
  </si>
  <si>
    <t>Mes_Num</t>
  </si>
  <si>
    <t>Mes_Nombre</t>
  </si>
  <si>
    <t>Categoria</t>
  </si>
  <si>
    <t>Monto_USD</t>
  </si>
  <si>
    <t>Porcentaje_Total</t>
  </si>
  <si>
    <t>Ahorro_Potencial_NIR</t>
  </si>
  <si>
    <t>CONC_Acumulado</t>
  </si>
  <si>
    <t>Falla Interna</t>
  </si>
  <si>
    <t>Falla externa</t>
  </si>
  <si>
    <t>Inspección</t>
  </si>
  <si>
    <t>Prevención</t>
  </si>
  <si>
    <t>ROI proyectado</t>
  </si>
  <si>
    <t>ID_Operador</t>
  </si>
  <si>
    <t>Nombre</t>
  </si>
  <si>
    <t>Nivel_Capacitacion</t>
  </si>
  <si>
    <t>Fecha_Ingreso</t>
  </si>
  <si>
    <t>Lotes_Asignados</t>
  </si>
  <si>
    <t>Promedio_Pureza</t>
  </si>
  <si>
    <t>Tasa_Error</t>
  </si>
  <si>
    <t>Evaluacion</t>
  </si>
  <si>
    <t>Turno_Principal</t>
  </si>
  <si>
    <t>Carlos Mendoza</t>
  </si>
  <si>
    <t>Maria López</t>
  </si>
  <si>
    <t>Juan Herrera</t>
  </si>
  <si>
    <t>Ana Torres</t>
  </si>
  <si>
    <t>Luis Ramirez</t>
  </si>
  <si>
    <t>Sofia Castro</t>
  </si>
  <si>
    <t>Avanzado</t>
  </si>
  <si>
    <t>Intermedio</t>
  </si>
  <si>
    <t>Básico</t>
  </si>
  <si>
    <t>RETEX — Sistema de Gestión de Calidad</t>
  </si>
  <si>
    <t>KPI</t>
  </si>
  <si>
    <t>Valor Actual</t>
  </si>
  <si>
    <t>Umbral</t>
  </si>
  <si>
    <t>Semáforo</t>
  </si>
  <si>
    <t>IPL - Índice de Pureza por Lote</t>
  </si>
  <si>
    <t>RS - Rendimiento de Selección</t>
  </si>
  <si>
    <t>VH - Verificación de Humedad</t>
  </si>
  <si>
    <t>TR - Tasa de Retorno</t>
  </si>
  <si>
    <t>TEC - Tasa de ERROR en Clasificación</t>
  </si>
  <si>
    <t>Cpk Mensual</t>
  </si>
  <si>
    <t>Inspector de Calidad</t>
  </si>
  <si>
    <t>Coordinador de Planta</t>
  </si>
  <si>
    <t>Almacenista</t>
  </si>
  <si>
    <t>Gerente de calidad</t>
  </si>
  <si>
    <t>Supervisor</t>
  </si>
  <si>
    <t>Ingeniero de Calidad</t>
  </si>
  <si>
    <t>ANÁLISIS DE CAPACIDAD DEL PROCESO</t>
  </si>
  <si>
    <t>Media del proceso</t>
  </si>
  <si>
    <t>Sigma del proceso</t>
  </si>
  <si>
    <t>Cp</t>
  </si>
  <si>
    <t>Cpk</t>
  </si>
  <si>
    <t>Lotes Inspeccionados</t>
  </si>
  <si>
    <t>Lotes NO OK</t>
  </si>
  <si>
    <t>Tasa de defectuosos</t>
  </si>
  <si>
    <t>ANÁLISIS DE COSTOS DE NO CALIDAD (CONC)</t>
  </si>
  <si>
    <t>CONC Total anual</t>
  </si>
  <si>
    <t>Fallas Internas</t>
  </si>
  <si>
    <t>Fallas Externas</t>
  </si>
  <si>
    <t>Ahorro potencial NIR</t>
  </si>
  <si>
    <t>Inversión NIR</t>
  </si>
  <si>
    <t>Estado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</si>
</sst>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 applyBorder="1"/>
    <xf numFmtId="0" fontId="0" fillId="0" borderId="0" xfId="0" applyFont="1" applyFill="1" applyBorder="1"/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4" fontId="1" fillId="0" borderId="0" xfId="0" applyNumberFormat="1" applyFont="1"/>
    <xf numFmtId="0" fontId="0" fillId="0" borderId="0" xfId="2" applyNumberFormat="1" applyFont="1"/>
    <xf numFmtId="0" fontId="0" fillId="0" borderId="0" xfId="1" applyNumberFormat="1" applyFont="1"/>
    <xf numFmtId="0" fontId="2" fillId="0" borderId="0" xfId="0" applyFont="1" applyAlignment="1">
      <alignment horizontal="left" vertical="center"/>
    </xf>
    <xf numFmtId="0" fontId="5" fillId="0" borderId="0" xfId="3" applyAlignment="1">
      <alignment horizontal="left" vertical="center"/>
    </xf>
    <xf numFmtId="0" fontId="6" fillId="0" borderId="0" xfId="0" applyFon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9" fontId="0" fillId="0" borderId="0" xfId="2" applyFont="1" applyAlignment="1">
      <alignment horizontal="center" vertical="center" wrapText="1"/>
    </xf>
    <xf numFmtId="0" fontId="8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3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FC92B-CA49-4F56-BC19-85A0D2975B16}" name="Lotes" displayName="Lotes" ref="A1:H53" totalsRowShown="0" headerRowDxfId="31">
  <autoFilter ref="A1:H53" xr:uid="{B0ED8F9C-A02F-4F28-B8FD-88BA4EADE679}"/>
  <tableColumns count="8">
    <tableColumn id="1" xr3:uid="{B6BA1082-0C57-4F79-906D-AF93990BA7D4}" name="ID_Lote"/>
    <tableColumn id="2" xr3:uid="{9C95901D-8915-481A-9D24-7A477417FD14}" name="Fecha" dataDxfId="30"/>
    <tableColumn id="3" xr3:uid="{42FB7AC9-5588-4CA1-AF34-725F0CC7A1F9}" name="Semana">
      <calculatedColumnFormula>WEEKNUM(B2,2)</calculatedColumnFormula>
    </tableColumn>
    <tableColumn id="4" xr3:uid="{E3A8D369-5DCB-49E4-A695-375EFB8A4D7C}" name="Mes">
      <calculatedColumnFormula>TEXT(B2,"mmmm")</calculatedColumnFormula>
    </tableColumn>
    <tableColumn id="5" xr3:uid="{B507D71D-9F63-44C1-8F02-31A59C78AF52}" name="Tipo_fibra" dataDxfId="29"/>
    <tableColumn id="6" xr3:uid="{DCABFF39-836B-4EE1-A002-562ADC8FA173}" name="Turno" dataDxfId="28">
      <calculatedColumnFormula>CHOOSE(MOD(ROW()-2,3)+1,"Matutino","Vespertino","Nocturno")</calculatedColumnFormula>
    </tableColumn>
    <tableColumn id="7" xr3:uid="{F0FC1333-22D5-4E64-9E5D-E9942435F4BD}" name="Operador_ID" dataDxfId="27">
      <calculatedColumnFormula>CHOOSE(RANDBETWEEN(1,6),"OP-01","OP-02","OP-03","OP-04","OP-05","OP-06")</calculatedColumnFormula>
    </tableColumn>
    <tableColumn id="8" xr3:uid="{8017F0EF-E1F4-4FCD-9215-E33A0B894B38}" name="Volumen_kg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826A35-FED5-436A-9362-EBD035D1BBAD}" name="Mediciones_Pureza" displayName="Mediciones_Pureza" ref="A1:O261" totalsRowShown="0" headerRowDxfId="25">
  <autoFilter ref="A1:O261" xr:uid="{AD856062-0E73-4E74-8A37-76CB3F92404E}"/>
  <tableColumns count="15">
    <tableColumn id="1" xr3:uid="{3DED1DD2-DE65-487C-BB50-0BD2D50164CC}" name="ID_Medicion">
      <calculatedColumnFormula>"MED-"&amp;TEXT(ROW()-1,"000")</calculatedColumnFormula>
    </tableColumn>
    <tableColumn id="2" xr3:uid="{F92E9D50-7141-45DC-8CF6-44DAC3C2E2FA}" name="ID_Lote">
      <calculatedColumnFormula>INDEX(Lotes!$A$2:$A$53,INT((ROW()-2)/5)+1)</calculatedColumnFormula>
    </tableColumn>
    <tableColumn id="3" xr3:uid="{75ECB2DB-9190-45BB-9C2C-31F17C385DDD}" name="Fecha" dataDxfId="24">
      <calculatedColumnFormula>INDEX(Lotes!$B$2:$B$53,INT((ROW()-2)/5)+1)</calculatedColumnFormula>
    </tableColumn>
    <tableColumn id="4" xr3:uid="{29A8B1C8-5C2D-4EA6-B7C9-8F564C2546C0}" name="Semana">
      <calculatedColumnFormula>INDEX(Lotes!$C$2:$C$53,INT((ROW()-2)/5)+1)</calculatedColumnFormula>
    </tableColumn>
    <tableColumn id="5" xr3:uid="{FCE90489-1682-4E5A-A536-BBDCCF4065BC}" name="Tipo_fibra">
      <calculatedColumnFormula>INDEX(Lotes!$E$2:$E$53,INT((ROW()-2)/5)+1)</calculatedColumnFormula>
    </tableColumn>
    <tableColumn id="6" xr3:uid="{20B90365-DD1C-4B93-947B-D56CBF8DC288}" name="Pureza_%"/>
    <tableColumn id="7" xr3:uid="{F9651F77-D1C7-4F48-9D23-94D8714D34A2}" name="LI">
      <calculatedColumnFormula>96</calculatedColumnFormula>
    </tableColumn>
    <tableColumn id="8" xr3:uid="{A3967C4D-D151-4386-BFD7-1FCCEAC84A47}" name="LS">
      <calculatedColumnFormula>100</calculatedColumnFormula>
    </tableColumn>
    <tableColumn id="9" xr3:uid="{7937472D-59A3-49C4-9F5C-0F854EEE347D}" name="Resultado">
      <calculatedColumnFormula>IF(F2&lt;G2,"❌ NOK - Bajo límite",IF(F2&gt;H2,"❌ NOK - Sobre límite","✅ OK"))</calculatedColumnFormula>
    </tableColumn>
    <tableColumn id="10" xr3:uid="{CFD6D0FE-8AE3-48AC-AD78-8BE587857C7F}" name="Media_Acumulada" dataDxfId="23">
      <calculatedColumnFormula>AVERAGE($F$2:F2)</calculatedColumnFormula>
    </tableColumn>
    <tableColumn id="11" xr3:uid="{118FED39-8257-4E68-A589-68B6C0003A34}" name="Sigma_Acumulada">
      <calculatedColumnFormula>IF(COUNTA($F$2:F2)&lt;20,"",_xlfn.STDEV.P($F$2:F2))</calculatedColumnFormula>
    </tableColumn>
    <tableColumn id="12" xr3:uid="{760459EF-39B3-4A58-BE60-F73D90277ECD}" name="Cp_Acumulado">
      <calculatedColumnFormula>IF(K2="","",ROUND((H2-G2)/(6*K2),2))</calculatedColumnFormula>
    </tableColumn>
    <tableColumn id="13" xr3:uid="{3A7A0DB3-987D-4131-8EE1-5B9253000737}" name="Cpk_Acumulado">
      <calculatedColumnFormula>IF(K2="","",ROUND(MIN((H2-J2)/(3*K2),(J2-G2)/(3*K2)),2))</calculatedColumnFormula>
    </tableColumn>
    <tableColumn id="14" xr3:uid="{77F3613D-DC12-4291-991C-AE86E7036604}" name="Estado_proceso">
      <calculatedColumnFormula>IF(M2="","⏳ Acumulando datos",
    IF(M2&gt;=1.33,"✅ CAPAZ",
    IF(M2&gt;=1,"⚠️ MARGINAL",
    IF(M2&gt;=0.67,"❌ NO CAPAZ — Requiere mejora",
    "🚨 CRÍTICO — Acción inmediata"))))</calculatedColumnFormula>
    </tableColumn>
    <tableColumn id="15" xr3:uid="{A5025C3E-6C4F-4FEE-9468-9C41554C4224}" name="Desviacion_vs_Media">
      <calculatedColumnFormula>IF(J3="","",ROUND(F3-J3,2))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CAE29E-DD47-4207-AEEC-16AB01123237}" name="Peso_Pacas" displayName="Peso_Pacas" ref="A1:Q101" totalsRowShown="0" headerRowDxfId="22">
  <autoFilter ref="A1:Q101" xr:uid="{EEE6E81C-3D8F-4CBF-9184-3CABB979DF34}"/>
  <tableColumns count="17">
    <tableColumn id="1" xr3:uid="{63927B06-2528-4C2F-AB07-0F37EBC14E9E}" name="ID_Subgrupo">
      <calculatedColumnFormula>"SUB-"&amp;TEXT(INT((ROW()-2)/5)+1,"000")</calculatedColumnFormula>
    </tableColumn>
    <tableColumn id="2" xr3:uid="{FB357C4A-9D40-436B-8E26-584155837B69}" name="ID_Lote">
      <calculatedColumnFormula>INDEX(Lotes!$A$2:$A$21,INT((ROW()-2)/5)+1)</calculatedColumnFormula>
    </tableColumn>
    <tableColumn id="3" xr3:uid="{8B09715A-EC52-493F-9B0C-D3A48FE2A135}" name="Fecha" dataDxfId="21">
      <calculatedColumnFormula>INDEX(Lotes!$B$2:$B$21,INT((ROW()-2)/5)+1)</calculatedColumnFormula>
    </tableColumn>
    <tableColumn id="4" xr3:uid="{4623194F-D610-4958-85CB-0074B85061D3}" name="Semana">
      <calculatedColumnFormula>INDEX(Lotes!$C$2:$C$21,INT((ROW()-2)/5)+1)</calculatedColumnFormula>
    </tableColumn>
    <tableColumn id="5" xr3:uid="{DAF8C864-AE99-4760-B8A4-31C18D8028F4}" name="Turno">
      <calculatedColumnFormula>INDEX(Lotes!$F$2:$F$21,INT((ROW()-2)/5)+1)</calculatedColumnFormula>
    </tableColumn>
    <tableColumn id="6" xr3:uid="{08C49019-8354-49FE-9A47-7759DF0A229E}" name="Num_Paca">
      <calculatedColumnFormula>MOD(ROW()-2,5)+1</calculatedColumnFormula>
    </tableColumn>
    <tableColumn id="7" xr3:uid="{7C399B60-1948-4A78-B686-895370734DD7}" name="Peso_kg"/>
    <tableColumn id="8" xr3:uid="{53305031-11DA-4006-993C-FCA07C175320}" name="Media_Subgrupo">
      <calculatedColumnFormula>AVERAGE(INDEX($G$2:$G$101,INT((ROW()-2)/5)*5+1):INDEX($G$2:$G$101,INT((ROW()-2)/5)*5+5))</calculatedColumnFormula>
    </tableColumn>
    <tableColumn id="9" xr3:uid="{AC885CCB-889F-4A7B-9673-0CE31DCD2C39}" name="Rango_Subgrupo">
      <calculatedColumnFormula>MAX(INDEX($G$2:$G$101,INT((ROW()-2)/5)*5+1):INDEX($G$2:$G$101,INT((ROW()-2)/5)*5+5))-MIN(INDEX($G$2:$G$101,INT((ROW()-2)/5)*5+1):INDEX($G$2:$G$101,INT((ROW()-2)/5)*5+5))</calculatedColumnFormula>
    </tableColumn>
    <tableColumn id="10" xr3:uid="{F76EC30D-5518-487F-B2ED-714EA87B20CD}" name="LCS_Xbarra">
      <calculatedColumnFormula>$L2+(0.577*$M2)</calculatedColumnFormula>
    </tableColumn>
    <tableColumn id="11" xr3:uid="{A0743EF4-879A-4F07-8B36-0C30DD6DC272}" name="LCI_Xbarra">
      <calculatedColumnFormula>$L2-(0.577*$M2)</calculatedColumnFormula>
    </tableColumn>
    <tableColumn id="12" xr3:uid="{9F6A946F-B160-461C-B7A8-16E9304A915E}" name="Media_Medias">
      <calculatedColumnFormula>AVERAGE($H$2:$H$101)</calculatedColumnFormula>
    </tableColumn>
    <tableColumn id="13" xr3:uid="{2C3F82BB-072D-4019-844B-A4CD75E776FD}" name="Rango_Medio">
      <calculatedColumnFormula>AVERAGE($I$2:$I$101)</calculatedColumnFormula>
    </tableColumn>
    <tableColumn id="14" xr3:uid="{775AB871-DE5B-4FA2-ACC2-3E43609220D7}" name="LCS_R">
      <calculatedColumnFormula>2.114*$M2</calculatedColumnFormula>
    </tableColumn>
    <tableColumn id="15" xr3:uid="{ECCC3150-EE4D-4827-AFA1-04E3DB2B16BD}" name="LCI_R">
      <calculatedColumnFormula>0*$M2</calculatedColumnFormula>
    </tableColumn>
    <tableColumn id="16" xr3:uid="{DA122E83-DF32-4814-B6A8-73DB8E3E7E13}" name="Señal_Xbarra">
      <calculatedColumnFormula>IF(H2&gt;J2,"⚠️ FUERA — Encima LCS",IF(H2&lt;K2,"⚠️ FUERA — Bajo LCI","✅ DENTRO"))</calculatedColumnFormula>
    </tableColumn>
    <tableColumn id="17" xr3:uid="{CEE1E4E6-B496-4D30-9B57-288D78A3AA27}" name="Señal_R">
      <calculatedColumnFormula>IF(I2&gt;N2,"⚠️ FUERA — Encima LCS","✅ DENTRO")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238A81-FFBC-475E-9BCE-1C043453F697}" name="KPIs_Diarios" displayName="KPIs_Diarios" ref="A1:L313" totalsRowShown="0" headerRowDxfId="20">
  <autoFilter ref="A1:L313" xr:uid="{90195AF4-74B7-4D40-9522-2A288EE10568}"/>
  <tableColumns count="12">
    <tableColumn id="1" xr3:uid="{81ACE557-2D68-44F5-BC1E-ABC11947781A}" name="ID_KPI">
      <calculatedColumnFormula>"KPI-"&amp;TEXT(ROW()-1,"000")</calculatedColumnFormula>
    </tableColumn>
    <tableColumn id="2" xr3:uid="{26DA1248-1A3C-4984-A1C7-20BE2FEE7883}" name="Fecha" dataDxfId="19">
      <calculatedColumnFormula>INDEX(Lotes!$B$2:$B$53,INT((ROW()-2)/6)+1)</calculatedColumnFormula>
    </tableColumn>
    <tableColumn id="3" xr3:uid="{16A84F82-E9D8-462B-A4BE-1CA75F21FDED}" name="Semana">
      <calculatedColumnFormula>INDEX(Lotes!$C$2:$C$53,INT((ROW()-2)/6)+1)</calculatedColumnFormula>
    </tableColumn>
    <tableColumn id="13" xr3:uid="{F878BE3E-2421-41BD-9E5F-A2DD24AF37DE}" name="ID_Lote" dataDxfId="18">
      <calculatedColumnFormula>INDEX(Lotes!$A$2:$A$53,INT((ROW()-2)/6)+1)</calculatedColumnFormula>
    </tableColumn>
    <tableColumn id="4" xr3:uid="{45134398-DC00-4B96-A5C7-FB268F445F5A}" name="Mes">
      <calculatedColumnFormula>INDEX(Lotes!$D$2:$D$53,INT((ROW()-2)/6)+1)</calculatedColumnFormula>
    </tableColumn>
    <tableColumn id="5" xr3:uid="{E8222874-8B68-490E-9F09-7DE26FC2A091}" name="Tipo_KPI"/>
    <tableColumn id="6" xr3:uid="{F8425CA2-567D-44EC-9309-C3E4B95AD5F4}" name="Valor_Medido" dataDxfId="17" dataCellStyle="Millares"/>
    <tableColumn id="7" xr3:uid="{C32D06D7-ABB9-467F-B252-78BF4BCC3B43}" name="Umbral_Alerta">
      <calculatedColumnFormula>IF(F2="IPL",96,IF(F2="RS",70,IF(F2="VH",8,IF(F2="TR",1,IF(F2="TEC",3,1)))))</calculatedColumnFormula>
    </tableColumn>
    <tableColumn id="8" xr3:uid="{2B3660A6-C4F3-45AD-87EB-F9D6D1FEBCF9}" name="Unidad" dataDxfId="16">
      <calculatedColumnFormula>IF(F2="IPL","%pureza",IF(F2="RS","%rendimiento",IF(F2="VH","%humedad",IF(F2="TR","%retorno",IF(F2="TEC","%error","índice")))))</calculatedColumnFormula>
    </tableColumn>
    <tableColumn id="9" xr3:uid="{7CB94B8C-59E9-4B70-B844-F75047141F4C}" name="Resultado">
      <calculatedColumnFormula>IF(OR(F2="IPL",F2="RS",F2="Cpk_Mensual"),IF(G2&lt;H2,"❌ ALERTA","✅ OK"),IF(G2&gt;H2,"❌ ALERTA","✅ OK"))</calculatedColumnFormula>
    </tableColumn>
    <tableColumn id="10" xr3:uid="{B96EA15D-C711-43A5-926C-73866B8ABAE0}" name="Semaforo">
      <calculatedColumnFormula>IF(OR(F2="IPL",F2="RS",F2="Cpk_Mensual"),IF(G2&lt;H2,"🔴 ALERTA",IF(G2&lt;H2*1.05,"🟡 PRECAUCIÓN","🟢 OK")),IF(G2&gt;H2,"🔴 ALERTA",IF(G2&gt;H2*0.85,"🟡 PRECAUCIÓN","🟢 OK")))</calculatedColumnFormula>
    </tableColumn>
    <tableColumn id="11" xr3:uid="{A234FE86-FD03-4A74-BDE8-0F140B8C7780}" name="Responsable">
      <calculatedColumnFormula>IF(F2="IPL","Inspector de Calidad",IF(F2="RS","Coordinador de Planta",IF(F2="VH","Almacenista",IF(F2="TR","Gerente de Calidad",IF(F2="TEC","Supervisor","Ingeniero de Calidad")))))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9E5067-FB5D-4C94-AC3A-1FE53E51C444}" name="Costos_CONC" displayName="Costos_CONC" ref="A1:H49" totalsRowShown="0" headerRowDxfId="15">
  <autoFilter ref="A1:H49" xr:uid="{A448242B-3C40-4D16-BA09-E81BE9D6A6B0}"/>
  <tableColumns count="8">
    <tableColumn id="1" xr3:uid="{C53F3E2E-27B3-459C-B068-0B799A83E5F9}" name="ID_Costo">
      <calculatedColumnFormula>"CONC-"&amp;TEXT(ROW()-1,"000")</calculatedColumnFormula>
    </tableColumn>
    <tableColumn id="2" xr3:uid="{6C9D4D11-881A-4B33-92B6-F768FE5B5C54}" name="Mes_Num">
      <calculatedColumnFormula>INT((ROW()-2)/4)+1</calculatedColumnFormula>
    </tableColumn>
    <tableColumn id="3" xr3:uid="{AC520374-7528-4A99-9311-E46ADE19D4B4}" name="Mes_Nombre">
      <calculatedColumnFormula>TEXT(DATE(2024,B2,1),"mmmm")</calculatedColumnFormula>
    </tableColumn>
    <tableColumn id="4" xr3:uid="{80774A4F-B6A3-4221-8761-D899A9E25A9C}" name="Categoria"/>
    <tableColumn id="5" xr3:uid="{12BC091B-FADB-489D-91D1-BD6FC48548B9}" name="Monto_USD"/>
    <tableColumn id="6" xr3:uid="{E8244E55-2630-4C5D-9585-1F449BCEF8B5}" name="Porcentaje_Total" dataDxfId="14">
      <calculatedColumnFormula>ROUND(E2/SUM($E$2:$E$49),4)</calculatedColumnFormula>
    </tableColumn>
    <tableColumn id="7" xr3:uid="{6241F175-2878-4760-8F17-0FEA7F3A0D71}" name="Ahorro_Potencial_NIR">
      <calculatedColumnFormula>ROUND(IF(D2="Falla Interna",E2*0.8,
IF(D2="Falla Externa",E2*0.9,IF(D2="Inspección",E2*1,
0))),2)</calculatedColumnFormula>
    </tableColumn>
    <tableColumn id="8" xr3:uid="{26FA8442-BD8D-4A12-9E18-09447FB234C3}" name="CONC_Acumulado">
      <calculatedColumnFormula>SUM($E$2:E2)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DAF120-E02E-47EA-B37D-11AAAA813ECD}" name="Operadores" displayName="Operadores" ref="A1:I7" totalsRowShown="0" headerRowDxfId="13">
  <autoFilter ref="A1:I7" xr:uid="{77B9FD11-9AAE-40C4-B617-D58C4510B0F0}"/>
  <tableColumns count="9">
    <tableColumn id="1" xr3:uid="{0D4CDBCD-168E-441C-90BB-FB14EEB5A5C6}" name="ID_Operador"/>
    <tableColumn id="2" xr3:uid="{8BB6332C-AD5C-4D6B-B43A-EAF2FB2BAC39}" name="Nombre"/>
    <tableColumn id="3" xr3:uid="{FC534222-E7C5-41B7-A69A-A139558C2D02}" name="Turno_Principal"/>
    <tableColumn id="4" xr3:uid="{CE61ACD0-34D0-40D2-98DA-5DCA6067300C}" name="Nivel_Capacitacion"/>
    <tableColumn id="5" xr3:uid="{EFD4A982-B879-459D-B52D-08A91F696BD6}" name="Fecha_Ingreso" dataDxfId="12"/>
    <tableColumn id="6" xr3:uid="{3D40F09E-77E5-4F28-B1F4-7E89184AE868}" name="Lotes_Asignados">
      <calculatedColumnFormula>COUNTIF(Lotes!$G$2:$G$53,A2)</calculatedColumnFormula>
    </tableColumn>
    <tableColumn id="7" xr3:uid="{43A75E9D-CFE2-40C0-88BB-BF4BBC5304B0}" name="Promedio_Pureza" dataDxfId="11" dataCellStyle="Porcentaje">
      <calculatedColumnFormula>IFERROR(AVERAGEIFS(Mediciones_Pureza!$F$2:$F$261,Mediciones_Pureza!$B$2:$B$261,INDEX(Lotes!$A$2:$A$53,MATCH(A2,Lotes!$G$2:$G$53,0))),"Sin datos")</calculatedColumnFormula>
    </tableColumn>
    <tableColumn id="8" xr3:uid="{F7DBBF82-D5E4-417A-9945-F0D58DA9DBE4}" name="Tasa_Error" dataDxfId="10" dataCellStyle="Porcentaje">
      <calculatedColumnFormula>AVERAGEIFS(KPIs_Diarios!$G$2:$G$313,KPIs_Diarios!$F$2:$F$313,"TEC",KPIs_Diarios!$E$2:$E$313,INDEX(Lotes!$D$2:$D$53,MATCH(A2,Lotes!$G$2:$G$53,0)))</calculatedColumnFormula>
    </tableColumn>
    <tableColumn id="9" xr3:uid="{408E377B-8864-4E8F-B458-C32C78A80DDF}" name="Evaluacion">
      <calculatedColumnFormula>IF(D2="Avanzado", IF(H2&lt;=2,"⭐ Excelente","✅ Bueno"),
    IF(D2="Intermedio",IF(H2&lt;=2.5,"✅ Bueno","⚠️ Regular"),
    IF(H2&lt;=3,"⚠️ Regular","❌ Requiere capacitación")))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8E94-2463-4E93-8DFB-86210E1B159D}">
  <dimension ref="A1:L53"/>
  <sheetViews>
    <sheetView topLeftCell="D1" zoomScale="90" zoomScaleNormal="90" workbookViewId="0">
      <pane ySplit="1" topLeftCell="A23" activePane="bottomLeft" state="frozen"/>
      <selection pane="bottomLeft" activeCell="G2" sqref="G2"/>
    </sheetView>
  </sheetViews>
  <sheetFormatPr baseColWidth="10" defaultRowHeight="14.4" x14ac:dyDescent="0.3"/>
  <cols>
    <col min="1" max="1" width="15.33203125" bestFit="1" customWidth="1"/>
    <col min="2" max="2" width="11.6640625" bestFit="1" customWidth="1"/>
    <col min="3" max="3" width="10.44140625" bestFit="1" customWidth="1"/>
    <col min="4" max="4" width="10.88671875" bestFit="1" customWidth="1"/>
    <col min="5" max="5" width="14.44140625" bestFit="1" customWidth="1"/>
    <col min="6" max="6" width="10.44140625" bestFit="1" customWidth="1"/>
    <col min="7" max="7" width="14.44140625" bestFit="1" customWidth="1"/>
    <col min="8" max="8" width="13.88671875" bestFit="1" customWidth="1"/>
    <col min="10" max="12" width="11.5546875" customWidth="1"/>
  </cols>
  <sheetData>
    <row r="1" spans="1:12" x14ac:dyDescent="0.3">
      <c r="A1" s="1" t="s">
        <v>74</v>
      </c>
      <c r="B1" s="1" t="s">
        <v>1</v>
      </c>
      <c r="C1" s="1" t="s">
        <v>0</v>
      </c>
      <c r="D1" s="1" t="s">
        <v>2</v>
      </c>
      <c r="E1" s="1" t="s">
        <v>75</v>
      </c>
      <c r="F1" s="1" t="s">
        <v>4</v>
      </c>
      <c r="G1" s="1" t="s">
        <v>76</v>
      </c>
      <c r="H1" s="1" t="s">
        <v>77</v>
      </c>
      <c r="J1" s="1" t="s">
        <v>3</v>
      </c>
      <c r="K1" s="1" t="s">
        <v>4</v>
      </c>
      <c r="L1" s="1" t="s">
        <v>5</v>
      </c>
    </row>
    <row r="2" spans="1:12" x14ac:dyDescent="0.3">
      <c r="A2" t="s">
        <v>6</v>
      </c>
      <c r="B2" s="2">
        <v>46095</v>
      </c>
      <c r="C2">
        <f>WEEKNUM(B2,2)</f>
        <v>11</v>
      </c>
      <c r="D2" t="str">
        <f>TEXT(B2,"mmmm")</f>
        <v>marzo</v>
      </c>
      <c r="E2" t="s">
        <v>11</v>
      </c>
      <c r="F2" t="str">
        <f t="shared" ref="F2:F33" si="0">CHOOSE(MOD(ROW()-2,3)+1,"Matutino","Vespertino","Nocturno")</f>
        <v>Matutino</v>
      </c>
      <c r="G2" t="str">
        <f t="shared" ref="G2:G24" ca="1" si="1">CHOOSE(RANDBETWEEN(1,6),"OP-01","OP-02","OP-03","OP-04","OP-05","OP-06")</f>
        <v>OP-06</v>
      </c>
      <c r="H2" s="3">
        <v>195.86</v>
      </c>
      <c r="J2" t="s">
        <v>11</v>
      </c>
      <c r="K2" t="s">
        <v>14</v>
      </c>
      <c r="L2" t="s">
        <v>64</v>
      </c>
    </row>
    <row r="3" spans="1:12" x14ac:dyDescent="0.3">
      <c r="A3" t="s">
        <v>7</v>
      </c>
      <c r="B3" s="2">
        <v>46102</v>
      </c>
      <c r="C3">
        <f t="shared" ref="C3:C53" si="2">WEEKNUM(B3,2)</f>
        <v>12</v>
      </c>
      <c r="D3" t="str">
        <f t="shared" ref="D3:D53" si="3">TEXT(B3,"mmmm")</f>
        <v>marzo</v>
      </c>
      <c r="E3" t="s">
        <v>12</v>
      </c>
      <c r="F3" t="str">
        <f t="shared" si="0"/>
        <v>Vespertino</v>
      </c>
      <c r="G3" t="str">
        <f t="shared" ca="1" si="1"/>
        <v>OP-04</v>
      </c>
      <c r="H3" s="3">
        <v>192.72</v>
      </c>
      <c r="J3" t="s">
        <v>12</v>
      </c>
      <c r="K3" t="s">
        <v>15</v>
      </c>
      <c r="L3" t="s">
        <v>65</v>
      </c>
    </row>
    <row r="4" spans="1:12" x14ac:dyDescent="0.3">
      <c r="A4" t="s">
        <v>8</v>
      </c>
      <c r="B4" s="2">
        <v>46109</v>
      </c>
      <c r="C4">
        <f t="shared" si="2"/>
        <v>13</v>
      </c>
      <c r="D4" t="str">
        <f t="shared" si="3"/>
        <v>marzo</v>
      </c>
      <c r="E4" t="s">
        <v>13</v>
      </c>
      <c r="F4" t="str">
        <f t="shared" si="0"/>
        <v>Nocturno</v>
      </c>
      <c r="G4" t="str">
        <f t="shared" ca="1" si="1"/>
        <v>OP-03</v>
      </c>
      <c r="H4" s="3">
        <v>194.27</v>
      </c>
      <c r="J4" t="s">
        <v>13</v>
      </c>
      <c r="K4" t="s">
        <v>16</v>
      </c>
      <c r="L4" t="s">
        <v>66</v>
      </c>
    </row>
    <row r="5" spans="1:12" x14ac:dyDescent="0.3">
      <c r="A5" t="s">
        <v>9</v>
      </c>
      <c r="B5" s="2">
        <v>46116</v>
      </c>
      <c r="C5">
        <f t="shared" si="2"/>
        <v>14</v>
      </c>
      <c r="D5" t="str">
        <f t="shared" si="3"/>
        <v>abril</v>
      </c>
      <c r="E5" t="s">
        <v>11</v>
      </c>
      <c r="F5" t="str">
        <f t="shared" si="0"/>
        <v>Matutino</v>
      </c>
      <c r="G5" t="str">
        <f t="shared" ca="1" si="1"/>
        <v>OP-02</v>
      </c>
      <c r="H5" s="4">
        <v>194.85</v>
      </c>
      <c r="L5" t="s">
        <v>67</v>
      </c>
    </row>
    <row r="6" spans="1:12" x14ac:dyDescent="0.3">
      <c r="A6" t="s">
        <v>10</v>
      </c>
      <c r="B6" s="2">
        <v>46123</v>
      </c>
      <c r="C6">
        <f t="shared" si="2"/>
        <v>15</v>
      </c>
      <c r="D6" t="str">
        <f t="shared" si="3"/>
        <v>abril</v>
      </c>
      <c r="E6" t="s">
        <v>12</v>
      </c>
      <c r="F6" t="str">
        <f t="shared" si="0"/>
        <v>Vespertino</v>
      </c>
      <c r="G6" t="str">
        <f t="shared" ca="1" si="1"/>
        <v>OP-06</v>
      </c>
      <c r="H6" s="4">
        <v>192.42</v>
      </c>
      <c r="L6" t="s">
        <v>68</v>
      </c>
    </row>
    <row r="7" spans="1:12" x14ac:dyDescent="0.3">
      <c r="A7" t="s">
        <v>17</v>
      </c>
      <c r="B7" s="2">
        <v>46130</v>
      </c>
      <c r="C7">
        <f t="shared" si="2"/>
        <v>16</v>
      </c>
      <c r="D7" t="str">
        <f t="shared" si="3"/>
        <v>abril</v>
      </c>
      <c r="E7" t="s">
        <v>13</v>
      </c>
      <c r="F7" t="str">
        <f t="shared" si="0"/>
        <v>Nocturno</v>
      </c>
      <c r="G7" t="str">
        <f t="shared" ca="1" si="1"/>
        <v>OP-03</v>
      </c>
      <c r="H7" s="4">
        <v>192.8</v>
      </c>
      <c r="L7" t="s">
        <v>69</v>
      </c>
    </row>
    <row r="8" spans="1:12" x14ac:dyDescent="0.3">
      <c r="A8" t="s">
        <v>18</v>
      </c>
      <c r="B8" s="2">
        <v>46137</v>
      </c>
      <c r="C8">
        <f t="shared" si="2"/>
        <v>17</v>
      </c>
      <c r="D8" t="str">
        <f t="shared" si="3"/>
        <v>abril</v>
      </c>
      <c r="E8" t="s">
        <v>11</v>
      </c>
      <c r="F8" t="str">
        <f t="shared" si="0"/>
        <v>Matutino</v>
      </c>
      <c r="G8" t="str">
        <f t="shared" ca="1" si="1"/>
        <v>OP-05</v>
      </c>
      <c r="H8" s="4">
        <v>191.8</v>
      </c>
    </row>
    <row r="9" spans="1:12" x14ac:dyDescent="0.3">
      <c r="A9" t="s">
        <v>19</v>
      </c>
      <c r="B9" s="2">
        <v>46144</v>
      </c>
      <c r="C9">
        <f t="shared" si="2"/>
        <v>18</v>
      </c>
      <c r="D9" t="str">
        <f t="shared" si="3"/>
        <v>mayo</v>
      </c>
      <c r="E9" t="s">
        <v>12</v>
      </c>
      <c r="F9" t="str">
        <f t="shared" si="0"/>
        <v>Vespertino</v>
      </c>
      <c r="G9" t="str">
        <f t="shared" ca="1" si="1"/>
        <v>OP-05</v>
      </c>
      <c r="H9" s="4">
        <v>194.19</v>
      </c>
    </row>
    <row r="10" spans="1:12" x14ac:dyDescent="0.3">
      <c r="A10" t="s">
        <v>20</v>
      </c>
      <c r="B10" s="2">
        <v>46151</v>
      </c>
      <c r="C10">
        <f t="shared" si="2"/>
        <v>19</v>
      </c>
      <c r="D10" t="str">
        <f t="shared" si="3"/>
        <v>mayo</v>
      </c>
      <c r="E10" t="s">
        <v>13</v>
      </c>
      <c r="F10" t="str">
        <f t="shared" si="0"/>
        <v>Nocturno</v>
      </c>
      <c r="G10" t="str">
        <f t="shared" ca="1" si="1"/>
        <v>OP-02</v>
      </c>
      <c r="H10" s="4">
        <v>196.5</v>
      </c>
    </row>
    <row r="11" spans="1:12" x14ac:dyDescent="0.3">
      <c r="A11" t="s">
        <v>21</v>
      </c>
      <c r="B11" s="2">
        <v>46158</v>
      </c>
      <c r="C11">
        <f t="shared" si="2"/>
        <v>20</v>
      </c>
      <c r="D11" t="str">
        <f t="shared" si="3"/>
        <v>mayo</v>
      </c>
      <c r="E11" t="s">
        <v>11</v>
      </c>
      <c r="F11" t="str">
        <f t="shared" si="0"/>
        <v>Matutino</v>
      </c>
      <c r="G11" t="str">
        <f t="shared" ca="1" si="1"/>
        <v>OP-04</v>
      </c>
      <c r="H11" s="4">
        <v>195.04</v>
      </c>
    </row>
    <row r="12" spans="1:12" x14ac:dyDescent="0.3">
      <c r="A12" t="s">
        <v>22</v>
      </c>
      <c r="B12" s="2">
        <v>46165</v>
      </c>
      <c r="C12">
        <f t="shared" si="2"/>
        <v>21</v>
      </c>
      <c r="D12" t="str">
        <f t="shared" si="3"/>
        <v>mayo</v>
      </c>
      <c r="E12" t="s">
        <v>12</v>
      </c>
      <c r="F12" t="str">
        <f t="shared" si="0"/>
        <v>Vespertino</v>
      </c>
      <c r="G12" t="str">
        <f t="shared" ca="1" si="1"/>
        <v>OP-02</v>
      </c>
      <c r="H12" s="4">
        <v>194.34</v>
      </c>
    </row>
    <row r="13" spans="1:12" x14ac:dyDescent="0.3">
      <c r="A13" t="s">
        <v>23</v>
      </c>
      <c r="B13" s="2">
        <v>46172</v>
      </c>
      <c r="C13">
        <f t="shared" si="2"/>
        <v>22</v>
      </c>
      <c r="D13" t="str">
        <f t="shared" si="3"/>
        <v>mayo</v>
      </c>
      <c r="E13" t="s">
        <v>13</v>
      </c>
      <c r="F13" t="str">
        <f t="shared" si="0"/>
        <v>Nocturno</v>
      </c>
      <c r="G13" t="str">
        <f t="shared" ca="1" si="1"/>
        <v>OP-02</v>
      </c>
      <c r="H13" s="4">
        <v>194.01</v>
      </c>
    </row>
    <row r="14" spans="1:12" x14ac:dyDescent="0.3">
      <c r="A14" t="s">
        <v>24</v>
      </c>
      <c r="B14" s="2">
        <v>46179</v>
      </c>
      <c r="C14">
        <f t="shared" si="2"/>
        <v>23</v>
      </c>
      <c r="D14" t="str">
        <f t="shared" si="3"/>
        <v>junio</v>
      </c>
      <c r="E14" t="s">
        <v>11</v>
      </c>
      <c r="F14" t="str">
        <f t="shared" si="0"/>
        <v>Matutino</v>
      </c>
      <c r="G14" t="str">
        <f t="shared" ca="1" si="1"/>
        <v>OP-01</v>
      </c>
      <c r="H14" s="4">
        <v>195.51</v>
      </c>
    </row>
    <row r="15" spans="1:12" x14ac:dyDescent="0.3">
      <c r="A15" t="s">
        <v>25</v>
      </c>
      <c r="B15" s="2">
        <v>46186</v>
      </c>
      <c r="C15">
        <f t="shared" si="2"/>
        <v>24</v>
      </c>
      <c r="D15" t="str">
        <f t="shared" si="3"/>
        <v>junio</v>
      </c>
      <c r="E15" t="s">
        <v>12</v>
      </c>
      <c r="F15" t="str">
        <f t="shared" si="0"/>
        <v>Vespertino</v>
      </c>
      <c r="G15" t="str">
        <f t="shared" ca="1" si="1"/>
        <v>OP-05</v>
      </c>
      <c r="H15" s="4">
        <v>193.27</v>
      </c>
    </row>
    <row r="16" spans="1:12" x14ac:dyDescent="0.3">
      <c r="A16" t="s">
        <v>26</v>
      </c>
      <c r="B16" s="2">
        <v>46193</v>
      </c>
      <c r="C16">
        <f t="shared" si="2"/>
        <v>25</v>
      </c>
      <c r="D16" t="str">
        <f t="shared" si="3"/>
        <v>junio</v>
      </c>
      <c r="E16" t="s">
        <v>13</v>
      </c>
      <c r="F16" t="str">
        <f t="shared" si="0"/>
        <v>Nocturno</v>
      </c>
      <c r="G16" t="str">
        <f t="shared" ca="1" si="1"/>
        <v>OP-06</v>
      </c>
      <c r="H16" s="4">
        <v>193.51</v>
      </c>
    </row>
    <row r="17" spans="1:8" x14ac:dyDescent="0.3">
      <c r="A17" t="s">
        <v>27</v>
      </c>
      <c r="B17" s="2">
        <v>46200</v>
      </c>
      <c r="C17">
        <f t="shared" si="2"/>
        <v>26</v>
      </c>
      <c r="D17" t="str">
        <f t="shared" si="3"/>
        <v>junio</v>
      </c>
      <c r="E17" t="s">
        <v>11</v>
      </c>
      <c r="F17" t="str">
        <f t="shared" si="0"/>
        <v>Matutino</v>
      </c>
      <c r="G17" t="str">
        <f t="shared" ca="1" si="1"/>
        <v>OP-01</v>
      </c>
      <c r="H17" s="4">
        <v>196.28</v>
      </c>
    </row>
    <row r="18" spans="1:8" x14ac:dyDescent="0.3">
      <c r="A18" t="s">
        <v>28</v>
      </c>
      <c r="B18" s="2">
        <v>46207</v>
      </c>
      <c r="C18">
        <f t="shared" si="2"/>
        <v>27</v>
      </c>
      <c r="D18" t="str">
        <f t="shared" si="3"/>
        <v>julio</v>
      </c>
      <c r="E18" t="s">
        <v>12</v>
      </c>
      <c r="F18" t="str">
        <f t="shared" si="0"/>
        <v>Vespertino</v>
      </c>
      <c r="G18" t="str">
        <f t="shared" ca="1" si="1"/>
        <v>OP-04</v>
      </c>
      <c r="H18" s="4">
        <v>195.64</v>
      </c>
    </row>
    <row r="19" spans="1:8" x14ac:dyDescent="0.3">
      <c r="A19" t="s">
        <v>29</v>
      </c>
      <c r="B19" s="2">
        <v>46214</v>
      </c>
      <c r="C19">
        <f t="shared" si="2"/>
        <v>28</v>
      </c>
      <c r="D19" t="str">
        <f t="shared" si="3"/>
        <v>julio</v>
      </c>
      <c r="E19" t="s">
        <v>13</v>
      </c>
      <c r="F19" t="str">
        <f t="shared" si="0"/>
        <v>Nocturno</v>
      </c>
      <c r="G19" t="str">
        <f t="shared" ca="1" si="1"/>
        <v>OP-03</v>
      </c>
      <c r="H19" s="4">
        <v>191.98</v>
      </c>
    </row>
    <row r="20" spans="1:8" x14ac:dyDescent="0.3">
      <c r="A20" t="s">
        <v>30</v>
      </c>
      <c r="B20" s="2">
        <v>46221</v>
      </c>
      <c r="C20">
        <f t="shared" si="2"/>
        <v>29</v>
      </c>
      <c r="D20" t="str">
        <f t="shared" si="3"/>
        <v>julio</v>
      </c>
      <c r="E20" t="s">
        <v>11</v>
      </c>
      <c r="F20" t="str">
        <f t="shared" si="0"/>
        <v>Matutino</v>
      </c>
      <c r="G20" t="str">
        <f t="shared" ca="1" si="1"/>
        <v>OP-06</v>
      </c>
      <c r="H20" s="4">
        <v>193.89</v>
      </c>
    </row>
    <row r="21" spans="1:8" x14ac:dyDescent="0.3">
      <c r="A21" t="s">
        <v>31</v>
      </c>
      <c r="B21" s="2">
        <v>46228</v>
      </c>
      <c r="C21">
        <f t="shared" si="2"/>
        <v>30</v>
      </c>
      <c r="D21" t="str">
        <f t="shared" si="3"/>
        <v>julio</v>
      </c>
      <c r="E21" t="s">
        <v>12</v>
      </c>
      <c r="F21" t="str">
        <f t="shared" si="0"/>
        <v>Vespertino</v>
      </c>
      <c r="G21" t="str">
        <f t="shared" ca="1" si="1"/>
        <v>OP-03</v>
      </c>
      <c r="H21" s="4">
        <v>195.27</v>
      </c>
    </row>
    <row r="22" spans="1:8" x14ac:dyDescent="0.3">
      <c r="A22" t="s">
        <v>32</v>
      </c>
      <c r="B22" s="2">
        <v>46235</v>
      </c>
      <c r="C22">
        <f t="shared" si="2"/>
        <v>31</v>
      </c>
      <c r="D22" t="str">
        <f t="shared" si="3"/>
        <v>agosto</v>
      </c>
      <c r="E22" t="s">
        <v>13</v>
      </c>
      <c r="F22" t="str">
        <f t="shared" si="0"/>
        <v>Nocturno</v>
      </c>
      <c r="G22" t="str">
        <f t="shared" ca="1" si="1"/>
        <v>OP-06</v>
      </c>
      <c r="H22" s="3">
        <v>192.97</v>
      </c>
    </row>
    <row r="23" spans="1:8" x14ac:dyDescent="0.3">
      <c r="A23" t="s">
        <v>33</v>
      </c>
      <c r="B23" s="2">
        <v>46242</v>
      </c>
      <c r="C23">
        <f t="shared" si="2"/>
        <v>32</v>
      </c>
      <c r="D23" t="str">
        <f t="shared" si="3"/>
        <v>agosto</v>
      </c>
      <c r="E23" t="s">
        <v>11</v>
      </c>
      <c r="F23" t="str">
        <f t="shared" si="0"/>
        <v>Matutino</v>
      </c>
      <c r="G23" t="str">
        <f t="shared" ca="1" si="1"/>
        <v>OP-05</v>
      </c>
      <c r="H23" s="3">
        <v>196.01</v>
      </c>
    </row>
    <row r="24" spans="1:8" x14ac:dyDescent="0.3">
      <c r="A24" t="s">
        <v>34</v>
      </c>
      <c r="B24" s="2">
        <v>46249</v>
      </c>
      <c r="C24">
        <f t="shared" si="2"/>
        <v>33</v>
      </c>
      <c r="D24" t="str">
        <f t="shared" si="3"/>
        <v>agosto</v>
      </c>
      <c r="E24" t="s">
        <v>12</v>
      </c>
      <c r="F24" t="str">
        <f t="shared" si="0"/>
        <v>Vespertino</v>
      </c>
      <c r="G24" t="str">
        <f t="shared" ca="1" si="1"/>
        <v>OP-02</v>
      </c>
      <c r="H24" s="3">
        <v>195.91</v>
      </c>
    </row>
    <row r="25" spans="1:8" x14ac:dyDescent="0.3">
      <c r="A25" t="s">
        <v>35</v>
      </c>
      <c r="B25" s="2">
        <v>46256</v>
      </c>
      <c r="C25">
        <f t="shared" si="2"/>
        <v>34</v>
      </c>
      <c r="D25" t="str">
        <f t="shared" si="3"/>
        <v>agosto</v>
      </c>
      <c r="E25" t="s">
        <v>13</v>
      </c>
      <c r="F25" t="str">
        <f t="shared" si="0"/>
        <v>Nocturno</v>
      </c>
      <c r="G25" t="s">
        <v>67</v>
      </c>
      <c r="H25" s="4">
        <v>194.45</v>
      </c>
    </row>
    <row r="26" spans="1:8" x14ac:dyDescent="0.3">
      <c r="A26" t="s">
        <v>36</v>
      </c>
      <c r="B26" s="2">
        <v>46263</v>
      </c>
      <c r="C26">
        <f t="shared" si="2"/>
        <v>35</v>
      </c>
      <c r="D26" t="str">
        <f t="shared" si="3"/>
        <v>agosto</v>
      </c>
      <c r="E26" t="s">
        <v>11</v>
      </c>
      <c r="F26" t="str">
        <f t="shared" si="0"/>
        <v>Matutino</v>
      </c>
      <c r="G26" t="s">
        <v>66</v>
      </c>
      <c r="H26" s="4">
        <v>193.52</v>
      </c>
    </row>
    <row r="27" spans="1:8" x14ac:dyDescent="0.3">
      <c r="A27" t="s">
        <v>37</v>
      </c>
      <c r="B27" s="2">
        <v>46270</v>
      </c>
      <c r="C27">
        <f t="shared" si="2"/>
        <v>36</v>
      </c>
      <c r="D27" t="str">
        <f t="shared" si="3"/>
        <v>septiembre</v>
      </c>
      <c r="E27" t="s">
        <v>12</v>
      </c>
      <c r="F27" t="str">
        <f t="shared" si="0"/>
        <v>Vespertino</v>
      </c>
      <c r="G27" t="s">
        <v>68</v>
      </c>
      <c r="H27" s="4">
        <v>195.18</v>
      </c>
    </row>
    <row r="28" spans="1:8" x14ac:dyDescent="0.3">
      <c r="A28" t="s">
        <v>38</v>
      </c>
      <c r="B28" s="2">
        <v>46277</v>
      </c>
      <c r="C28">
        <f t="shared" si="2"/>
        <v>37</v>
      </c>
      <c r="D28" t="str">
        <f t="shared" si="3"/>
        <v>septiembre</v>
      </c>
      <c r="E28" t="s">
        <v>13</v>
      </c>
      <c r="F28" t="str">
        <f t="shared" si="0"/>
        <v>Nocturno</v>
      </c>
      <c r="G28" t="s">
        <v>69</v>
      </c>
      <c r="H28" s="4">
        <v>193.13</v>
      </c>
    </row>
    <row r="29" spans="1:8" x14ac:dyDescent="0.3">
      <c r="A29" t="s">
        <v>39</v>
      </c>
      <c r="B29" s="2">
        <v>46284</v>
      </c>
      <c r="C29">
        <f t="shared" si="2"/>
        <v>38</v>
      </c>
      <c r="D29" t="str">
        <f t="shared" si="3"/>
        <v>septiembre</v>
      </c>
      <c r="E29" t="s">
        <v>11</v>
      </c>
      <c r="F29" t="str">
        <f t="shared" si="0"/>
        <v>Matutino</v>
      </c>
      <c r="G29" t="s">
        <v>67</v>
      </c>
      <c r="H29" s="4">
        <v>193.9</v>
      </c>
    </row>
    <row r="30" spans="1:8" x14ac:dyDescent="0.3">
      <c r="A30" t="s">
        <v>40</v>
      </c>
      <c r="B30" s="2">
        <v>46291</v>
      </c>
      <c r="C30">
        <f t="shared" si="2"/>
        <v>39</v>
      </c>
      <c r="D30" t="str">
        <f t="shared" si="3"/>
        <v>septiembre</v>
      </c>
      <c r="E30" t="s">
        <v>12</v>
      </c>
      <c r="F30" t="str">
        <f t="shared" si="0"/>
        <v>Vespertino</v>
      </c>
      <c r="G30" t="s">
        <v>67</v>
      </c>
      <c r="H30" s="4">
        <v>196.02</v>
      </c>
    </row>
    <row r="31" spans="1:8" x14ac:dyDescent="0.3">
      <c r="A31" t="s">
        <v>41</v>
      </c>
      <c r="B31" s="2">
        <v>46298</v>
      </c>
      <c r="C31">
        <f t="shared" si="2"/>
        <v>40</v>
      </c>
      <c r="D31" t="str">
        <f t="shared" si="3"/>
        <v>octubre</v>
      </c>
      <c r="E31" t="s">
        <v>13</v>
      </c>
      <c r="F31" t="str">
        <f t="shared" si="0"/>
        <v>Nocturno</v>
      </c>
      <c r="G31" t="s">
        <v>69</v>
      </c>
      <c r="H31" s="4">
        <v>198.33</v>
      </c>
    </row>
    <row r="32" spans="1:8" x14ac:dyDescent="0.3">
      <c r="A32" t="s">
        <v>42</v>
      </c>
      <c r="B32" s="2">
        <v>46305</v>
      </c>
      <c r="C32">
        <f t="shared" si="2"/>
        <v>41</v>
      </c>
      <c r="D32" t="str">
        <f t="shared" si="3"/>
        <v>octubre</v>
      </c>
      <c r="E32" t="s">
        <v>11</v>
      </c>
      <c r="F32" t="str">
        <f t="shared" si="0"/>
        <v>Matutino</v>
      </c>
      <c r="G32" t="s">
        <v>69</v>
      </c>
      <c r="H32" s="4">
        <v>195.17</v>
      </c>
    </row>
    <row r="33" spans="1:8" x14ac:dyDescent="0.3">
      <c r="A33" t="s">
        <v>43</v>
      </c>
      <c r="B33" s="2">
        <v>46312</v>
      </c>
      <c r="C33">
        <f t="shared" si="2"/>
        <v>42</v>
      </c>
      <c r="D33" t="str">
        <f t="shared" si="3"/>
        <v>octubre</v>
      </c>
      <c r="E33" t="s">
        <v>12</v>
      </c>
      <c r="F33" t="str">
        <f t="shared" si="0"/>
        <v>Vespertino</v>
      </c>
      <c r="G33" t="s">
        <v>66</v>
      </c>
      <c r="H33" s="4">
        <v>195.7</v>
      </c>
    </row>
    <row r="34" spans="1:8" x14ac:dyDescent="0.3">
      <c r="A34" t="s">
        <v>44</v>
      </c>
      <c r="B34" s="2">
        <v>46319</v>
      </c>
      <c r="C34">
        <f t="shared" si="2"/>
        <v>43</v>
      </c>
      <c r="D34" t="str">
        <f t="shared" si="3"/>
        <v>octubre</v>
      </c>
      <c r="E34" t="s">
        <v>13</v>
      </c>
      <c r="F34" t="str">
        <f t="shared" ref="F34:F53" si="4">CHOOSE(MOD(ROW()-2,3)+1,"Matutino","Vespertino","Nocturno")</f>
        <v>Nocturno</v>
      </c>
      <c r="G34" t="s">
        <v>67</v>
      </c>
      <c r="H34" s="4">
        <v>194.41</v>
      </c>
    </row>
    <row r="35" spans="1:8" x14ac:dyDescent="0.3">
      <c r="A35" t="s">
        <v>45</v>
      </c>
      <c r="B35" s="2">
        <v>46326</v>
      </c>
      <c r="C35">
        <f t="shared" si="2"/>
        <v>44</v>
      </c>
      <c r="D35" t="str">
        <f t="shared" si="3"/>
        <v>octubre</v>
      </c>
      <c r="E35" t="s">
        <v>11</v>
      </c>
      <c r="F35" t="str">
        <f t="shared" si="4"/>
        <v>Matutino</v>
      </c>
      <c r="G35" t="s">
        <v>68</v>
      </c>
      <c r="H35" s="4">
        <v>199.25</v>
      </c>
    </row>
    <row r="36" spans="1:8" x14ac:dyDescent="0.3">
      <c r="A36" t="s">
        <v>46</v>
      </c>
      <c r="B36" s="2">
        <v>46333</v>
      </c>
      <c r="C36">
        <f t="shared" si="2"/>
        <v>45</v>
      </c>
      <c r="D36" t="str">
        <f t="shared" si="3"/>
        <v>noviembre</v>
      </c>
      <c r="E36" t="s">
        <v>12</v>
      </c>
      <c r="F36" t="str">
        <f t="shared" si="4"/>
        <v>Vespertino</v>
      </c>
      <c r="G36" t="s">
        <v>67</v>
      </c>
      <c r="H36" s="4">
        <v>195.72</v>
      </c>
    </row>
    <row r="37" spans="1:8" x14ac:dyDescent="0.3">
      <c r="A37" t="s">
        <v>47</v>
      </c>
      <c r="B37" s="2">
        <v>46340</v>
      </c>
      <c r="C37">
        <f t="shared" si="2"/>
        <v>46</v>
      </c>
      <c r="D37" t="str">
        <f t="shared" si="3"/>
        <v>noviembre</v>
      </c>
      <c r="E37" t="s">
        <v>13</v>
      </c>
      <c r="F37" t="str">
        <f t="shared" si="4"/>
        <v>Nocturno</v>
      </c>
      <c r="G37" t="s">
        <v>65</v>
      </c>
      <c r="H37" s="4">
        <v>194.89</v>
      </c>
    </row>
    <row r="38" spans="1:8" x14ac:dyDescent="0.3">
      <c r="A38" t="s">
        <v>48</v>
      </c>
      <c r="B38" s="2">
        <v>46347</v>
      </c>
      <c r="C38">
        <f t="shared" si="2"/>
        <v>47</v>
      </c>
      <c r="D38" t="str">
        <f t="shared" si="3"/>
        <v>noviembre</v>
      </c>
      <c r="E38" t="s">
        <v>11</v>
      </c>
      <c r="F38" t="str">
        <f t="shared" si="4"/>
        <v>Matutino</v>
      </c>
      <c r="G38" t="s">
        <v>64</v>
      </c>
      <c r="H38" s="4">
        <v>193.45</v>
      </c>
    </row>
    <row r="39" spans="1:8" x14ac:dyDescent="0.3">
      <c r="A39" t="s">
        <v>49</v>
      </c>
      <c r="B39" s="2">
        <v>46354</v>
      </c>
      <c r="C39">
        <f t="shared" si="2"/>
        <v>48</v>
      </c>
      <c r="D39" t="str">
        <f t="shared" si="3"/>
        <v>noviembre</v>
      </c>
      <c r="E39" t="s">
        <v>12</v>
      </c>
      <c r="F39" t="str">
        <f t="shared" si="4"/>
        <v>Vespertino</v>
      </c>
      <c r="G39" t="s">
        <v>67</v>
      </c>
      <c r="H39" s="4">
        <v>194.73</v>
      </c>
    </row>
    <row r="40" spans="1:8" x14ac:dyDescent="0.3">
      <c r="A40" t="s">
        <v>50</v>
      </c>
      <c r="B40" s="2">
        <v>46361</v>
      </c>
      <c r="C40">
        <f t="shared" si="2"/>
        <v>49</v>
      </c>
      <c r="D40" t="str">
        <f>TEXT(B40,"mmmm")</f>
        <v>diciembre</v>
      </c>
      <c r="E40" t="s">
        <v>13</v>
      </c>
      <c r="F40" t="str">
        <f t="shared" si="4"/>
        <v>Nocturno</v>
      </c>
      <c r="G40" t="s">
        <v>67</v>
      </c>
      <c r="H40" s="4">
        <v>196.04</v>
      </c>
    </row>
    <row r="41" spans="1:8" x14ac:dyDescent="0.3">
      <c r="A41" t="s">
        <v>51</v>
      </c>
      <c r="B41" s="2">
        <v>46368</v>
      </c>
      <c r="C41">
        <f t="shared" si="2"/>
        <v>50</v>
      </c>
      <c r="D41" t="str">
        <f t="shared" si="3"/>
        <v>diciembre</v>
      </c>
      <c r="E41" t="s">
        <v>11</v>
      </c>
      <c r="F41" t="str">
        <f t="shared" si="4"/>
        <v>Matutino</v>
      </c>
      <c r="G41" t="s">
        <v>67</v>
      </c>
      <c r="H41" s="4">
        <v>195.76</v>
      </c>
    </row>
    <row r="42" spans="1:8" x14ac:dyDescent="0.3">
      <c r="A42" t="s">
        <v>52</v>
      </c>
      <c r="B42" s="2">
        <v>46375</v>
      </c>
      <c r="C42">
        <f t="shared" si="2"/>
        <v>51</v>
      </c>
      <c r="D42" t="str">
        <f t="shared" si="3"/>
        <v>diciembre</v>
      </c>
      <c r="E42" t="s">
        <v>12</v>
      </c>
      <c r="F42" t="str">
        <f t="shared" si="4"/>
        <v>Vespertino</v>
      </c>
      <c r="G42" t="s">
        <v>68</v>
      </c>
      <c r="H42" s="4">
        <v>190.4</v>
      </c>
    </row>
    <row r="43" spans="1:8" x14ac:dyDescent="0.3">
      <c r="A43" t="s">
        <v>53</v>
      </c>
      <c r="B43" s="2">
        <v>46382</v>
      </c>
      <c r="C43">
        <f t="shared" si="2"/>
        <v>52</v>
      </c>
      <c r="D43" t="str">
        <f t="shared" si="3"/>
        <v>diciembre</v>
      </c>
      <c r="E43" t="s">
        <v>13</v>
      </c>
      <c r="F43" t="str">
        <f t="shared" si="4"/>
        <v>Nocturno</v>
      </c>
      <c r="G43" t="s">
        <v>64</v>
      </c>
      <c r="H43" s="4">
        <v>197.15</v>
      </c>
    </row>
    <row r="44" spans="1:8" x14ac:dyDescent="0.3">
      <c r="A44" t="s">
        <v>54</v>
      </c>
      <c r="B44" s="2">
        <v>46389</v>
      </c>
      <c r="C44">
        <f t="shared" si="2"/>
        <v>1</v>
      </c>
      <c r="D44" t="str">
        <f t="shared" si="3"/>
        <v>enero</v>
      </c>
      <c r="E44" t="s">
        <v>11</v>
      </c>
      <c r="F44" t="str">
        <f t="shared" si="4"/>
        <v>Matutino</v>
      </c>
      <c r="G44" t="s">
        <v>69</v>
      </c>
      <c r="H44" s="4">
        <v>196.32</v>
      </c>
    </row>
    <row r="45" spans="1:8" x14ac:dyDescent="0.3">
      <c r="A45" t="s">
        <v>55</v>
      </c>
      <c r="B45" s="2">
        <v>46396</v>
      </c>
      <c r="C45">
        <f t="shared" si="2"/>
        <v>2</v>
      </c>
      <c r="D45" t="str">
        <f t="shared" si="3"/>
        <v>enero</v>
      </c>
      <c r="E45" t="s">
        <v>12</v>
      </c>
      <c r="F45" t="str">
        <f t="shared" si="4"/>
        <v>Vespertino</v>
      </c>
      <c r="G45" t="s">
        <v>67</v>
      </c>
      <c r="H45" s="4">
        <v>197.24</v>
      </c>
    </row>
    <row r="46" spans="1:8" x14ac:dyDescent="0.3">
      <c r="A46" t="s">
        <v>56</v>
      </c>
      <c r="B46" s="2">
        <v>46403</v>
      </c>
      <c r="C46">
        <f t="shared" si="2"/>
        <v>3</v>
      </c>
      <c r="D46" t="str">
        <f t="shared" si="3"/>
        <v>enero</v>
      </c>
      <c r="E46" t="s">
        <v>13</v>
      </c>
      <c r="F46" t="str">
        <f t="shared" si="4"/>
        <v>Nocturno</v>
      </c>
      <c r="G46" t="s">
        <v>64</v>
      </c>
      <c r="H46" s="4">
        <v>195.43</v>
      </c>
    </row>
    <row r="47" spans="1:8" x14ac:dyDescent="0.3">
      <c r="A47" t="s">
        <v>57</v>
      </c>
      <c r="B47" s="2">
        <v>46410</v>
      </c>
      <c r="C47">
        <f t="shared" si="2"/>
        <v>4</v>
      </c>
      <c r="D47" t="str">
        <f t="shared" si="3"/>
        <v>enero</v>
      </c>
      <c r="E47" t="s">
        <v>11</v>
      </c>
      <c r="F47" t="str">
        <f t="shared" si="4"/>
        <v>Matutino</v>
      </c>
      <c r="G47" t="s">
        <v>68</v>
      </c>
      <c r="H47" s="4">
        <v>197.93</v>
      </c>
    </row>
    <row r="48" spans="1:8" x14ac:dyDescent="0.3">
      <c r="A48" t="s">
        <v>58</v>
      </c>
      <c r="B48" s="2">
        <v>46417</v>
      </c>
      <c r="C48">
        <f t="shared" si="2"/>
        <v>5</v>
      </c>
      <c r="D48" t="str">
        <f t="shared" si="3"/>
        <v>enero</v>
      </c>
      <c r="E48" t="s">
        <v>12</v>
      </c>
      <c r="F48" t="str">
        <f t="shared" si="4"/>
        <v>Vespertino</v>
      </c>
      <c r="G48" t="s">
        <v>64</v>
      </c>
      <c r="H48" s="4">
        <v>194.17</v>
      </c>
    </row>
    <row r="49" spans="1:8" x14ac:dyDescent="0.3">
      <c r="A49" t="s">
        <v>59</v>
      </c>
      <c r="B49" s="2">
        <v>46424</v>
      </c>
      <c r="C49">
        <f t="shared" si="2"/>
        <v>6</v>
      </c>
      <c r="D49" t="str">
        <f t="shared" si="3"/>
        <v>febrero</v>
      </c>
      <c r="E49" t="s">
        <v>13</v>
      </c>
      <c r="F49" t="str">
        <f t="shared" si="4"/>
        <v>Nocturno</v>
      </c>
      <c r="G49" t="s">
        <v>64</v>
      </c>
      <c r="H49" s="4">
        <v>197.22</v>
      </c>
    </row>
    <row r="50" spans="1:8" x14ac:dyDescent="0.3">
      <c r="A50" t="s">
        <v>60</v>
      </c>
      <c r="B50" s="2">
        <v>46431</v>
      </c>
      <c r="C50">
        <f t="shared" si="2"/>
        <v>7</v>
      </c>
      <c r="D50" t="str">
        <f t="shared" si="3"/>
        <v>febrero</v>
      </c>
      <c r="E50" t="s">
        <v>11</v>
      </c>
      <c r="F50" t="str">
        <f t="shared" si="4"/>
        <v>Matutino</v>
      </c>
      <c r="G50" t="s">
        <v>69</v>
      </c>
      <c r="H50" s="4">
        <v>196.51</v>
      </c>
    </row>
    <row r="51" spans="1:8" x14ac:dyDescent="0.3">
      <c r="A51" t="s">
        <v>61</v>
      </c>
      <c r="B51" s="2">
        <v>46438</v>
      </c>
      <c r="C51">
        <f t="shared" si="2"/>
        <v>8</v>
      </c>
      <c r="D51" t="str">
        <f t="shared" si="3"/>
        <v>febrero</v>
      </c>
      <c r="E51" t="s">
        <v>12</v>
      </c>
      <c r="F51" t="str">
        <f t="shared" si="4"/>
        <v>Vespertino</v>
      </c>
      <c r="G51" t="s">
        <v>68</v>
      </c>
      <c r="H51" s="4">
        <v>193.18</v>
      </c>
    </row>
    <row r="52" spans="1:8" x14ac:dyDescent="0.3">
      <c r="A52" t="s">
        <v>62</v>
      </c>
      <c r="B52" s="2">
        <v>46445</v>
      </c>
      <c r="C52">
        <f t="shared" si="2"/>
        <v>9</v>
      </c>
      <c r="D52" t="str">
        <f t="shared" si="3"/>
        <v>febrero</v>
      </c>
      <c r="E52" t="s">
        <v>13</v>
      </c>
      <c r="F52" t="str">
        <f t="shared" si="4"/>
        <v>Nocturno</v>
      </c>
      <c r="G52" t="s">
        <v>64</v>
      </c>
      <c r="H52" s="4">
        <v>193.32</v>
      </c>
    </row>
    <row r="53" spans="1:8" x14ac:dyDescent="0.3">
      <c r="A53" t="s">
        <v>63</v>
      </c>
      <c r="B53" s="2">
        <v>46452</v>
      </c>
      <c r="C53">
        <f t="shared" si="2"/>
        <v>10</v>
      </c>
      <c r="D53" t="str">
        <f t="shared" si="3"/>
        <v>marzo</v>
      </c>
      <c r="E53" t="s">
        <v>11</v>
      </c>
      <c r="F53" t="str">
        <f t="shared" si="4"/>
        <v>Matutino</v>
      </c>
      <c r="G53" t="s">
        <v>69</v>
      </c>
      <c r="H53" s="4">
        <v>196.59</v>
      </c>
    </row>
  </sheetData>
  <dataValidations count="4">
    <dataValidation type="list" allowBlank="1" showInputMessage="1" showErrorMessage="1" sqref="E2:E53" xr:uid="{13AE8085-7A9B-4FF5-B84C-84AB9DCCF378}">
      <formula1>$J$2:$J$4</formula1>
    </dataValidation>
    <dataValidation type="list" allowBlank="1" showInputMessage="1" showErrorMessage="1" sqref="F2:F53" xr:uid="{38476B92-67EC-4FFC-A391-BACE60B98685}">
      <formula1>$K$2:$K$4</formula1>
    </dataValidation>
    <dataValidation allowBlank="1" showInputMessage="1" showErrorMessage="1" prompt="El valor agregado debe ser en kg" sqref="H2:H53" xr:uid="{81318B1F-0894-48B3-8495-3D2A163A5DF5}"/>
    <dataValidation type="list" allowBlank="1" showInputMessage="1" showErrorMessage="1" sqref="G2:G53" xr:uid="{4BD8603E-C4AE-4F76-A07C-DECAE50CEFDD}">
      <formula1>$L$2:$L$7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3E47-36E6-4244-9B2F-D8D5F41F8E93}">
  <dimension ref="A1:O261"/>
  <sheetViews>
    <sheetView topLeftCell="A225" zoomScale="80" zoomScaleNormal="80" zoomScalePageLayoutView="40" workbookViewId="0">
      <selection activeCell="C2" sqref="C2"/>
    </sheetView>
  </sheetViews>
  <sheetFormatPr baseColWidth="10" defaultRowHeight="14.4" x14ac:dyDescent="0.3"/>
  <cols>
    <col min="1" max="1" width="13.33203125" customWidth="1"/>
    <col min="2" max="2" width="15.33203125" bestFit="1" customWidth="1"/>
    <col min="4" max="4" width="9.77734375" customWidth="1"/>
    <col min="5" max="5" width="13.77734375" customWidth="1"/>
    <col min="10" max="10" width="18.44140625" customWidth="1"/>
    <col min="11" max="11" width="18.109375" customWidth="1"/>
    <col min="12" max="12" width="15.33203125" customWidth="1"/>
    <col min="13" max="13" width="16.21875" customWidth="1"/>
    <col min="14" max="14" width="30.44140625" bestFit="1" customWidth="1"/>
    <col min="15" max="15" width="20.44140625" customWidth="1"/>
  </cols>
  <sheetData>
    <row r="1" spans="1:15" x14ac:dyDescent="0.3">
      <c r="A1" s="5" t="s">
        <v>78</v>
      </c>
      <c r="B1" s="5" t="s">
        <v>74</v>
      </c>
      <c r="C1" s="5" t="s">
        <v>1</v>
      </c>
      <c r="D1" s="5" t="s">
        <v>0</v>
      </c>
      <c r="E1" s="5" t="s">
        <v>75</v>
      </c>
      <c r="F1" s="5" t="s">
        <v>79</v>
      </c>
      <c r="G1" s="5" t="s">
        <v>70</v>
      </c>
      <c r="H1" s="5" t="s">
        <v>71</v>
      </c>
      <c r="I1" s="5" t="s">
        <v>72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</row>
    <row r="2" spans="1:15" x14ac:dyDescent="0.3">
      <c r="A2" t="str">
        <f>"MED-"&amp;TEXT(ROW()-1,"000")</f>
        <v>MED-001</v>
      </c>
      <c r="B2" t="str">
        <f>INDEX(Lotes!$A$2:$A$53,INT((ROW()-2)/5)+1)</f>
        <v>RETEX-2024-001</v>
      </c>
      <c r="C2" s="2">
        <f>INDEX(Lotes!$B$2:$B$53,INT((ROW()-2)/5)+1)</f>
        <v>46095</v>
      </c>
      <c r="D2">
        <f>INDEX(Lotes!$C$2:$C$53,INT((ROW()-2)/5)+1)</f>
        <v>11</v>
      </c>
      <c r="E2" t="str">
        <f>INDEX(Lotes!$E$2:$E$53,INT((ROW()-2)/5)+1)</f>
        <v>Algodón</v>
      </c>
      <c r="F2">
        <v>98.14</v>
      </c>
      <c r="G2">
        <f>96</f>
        <v>96</v>
      </c>
      <c r="H2">
        <f>100</f>
        <v>100</v>
      </c>
      <c r="I2" t="str">
        <f>IF(F2&lt;G2,"❌ NOK - Bajo límite",IF(F2&gt;H2,"❌ NOK - Sobre límite","✅ OK"))</f>
        <v>✅ OK</v>
      </c>
      <c r="J2" s="6">
        <f>AVERAGE($F$2:F2)</f>
        <v>98.14</v>
      </c>
      <c r="K2" t="str">
        <f>IF(COUNTA($F$2:F2)&lt;20,"",_xlfn.STDEV.P($F$2:F2))</f>
        <v/>
      </c>
      <c r="L2" t="str">
        <f>IF(K2="","",ROUND((H2-G2)/(6*K2),2))</f>
        <v/>
      </c>
      <c r="M2" t="str">
        <f>IF(K2="","",ROUND(MIN((H2-J2)/(3*K2),(J2-G2)/(3*K2)),2))</f>
        <v/>
      </c>
      <c r="N2" t="str">
        <f>IF(M2="","⏳ Acumulando datos",
    IF(M2&gt;=1.33,"✅ CAPAZ",
    IF(M2&gt;=1,"⚠️ MARGINAL",
    IF(M2&gt;=0.67,"❌ NO CAPAZ — Requiere mejora",
    "🚨 CRÍTICO — Acción inmediata"))))</f>
        <v>⏳ Acumulando datos</v>
      </c>
      <c r="O2">
        <f>IF(J3="","",ROUND(F3-J3,2))</f>
        <v>0.53</v>
      </c>
    </row>
    <row r="3" spans="1:15" x14ac:dyDescent="0.3">
      <c r="A3" t="str">
        <f t="shared" ref="A3:A66" si="0">"MED-"&amp;TEXT(ROW()-1,"000")</f>
        <v>MED-002</v>
      </c>
      <c r="B3" t="str">
        <f>INDEX(Lotes!$A$2:$A$53,INT((ROW()-2)/5)+1)</f>
        <v>RETEX-2024-001</v>
      </c>
      <c r="C3" s="2">
        <f>INDEX(Lotes!$B$2:$B$53,INT((ROW()-2)/5)+1)</f>
        <v>46095</v>
      </c>
      <c r="D3">
        <f>INDEX(Lotes!$C$2:$C$53,INT((ROW()-2)/5)+1)</f>
        <v>11</v>
      </c>
      <c r="E3" t="str">
        <f>INDEX(Lotes!$E$2:$E$53,INT((ROW()-2)/5)+1)</f>
        <v>Algodón</v>
      </c>
      <c r="F3">
        <v>99.2</v>
      </c>
      <c r="G3">
        <f>96</f>
        <v>96</v>
      </c>
      <c r="H3">
        <f>100</f>
        <v>100</v>
      </c>
      <c r="I3" t="str">
        <f t="shared" ref="I3:I66" si="1">IF(F3&lt;G3,"❌ NOK - Bajo límite",IF(F3&gt;H3,"❌ NOK - Sobre límite","✅ OK"))</f>
        <v>✅ OK</v>
      </c>
      <c r="J3" s="6">
        <f>AVERAGE($F$2:F3)</f>
        <v>98.67</v>
      </c>
      <c r="K3" t="str">
        <f>IF(COUNTA($F$2:F3)&lt;20,"",_xlfn.STDEV.P($F$2:F3))</f>
        <v/>
      </c>
      <c r="L3" t="str">
        <f t="shared" ref="L3:L66" si="2">IF(K3="","",ROUND((H3-G3)/(6*K3),2))</f>
        <v/>
      </c>
      <c r="M3" t="str">
        <f t="shared" ref="M3:M66" si="3">IF(K3="","",ROUND(MIN((H3-J3)/(3*K3),(J3-G3)/(3*K3)),2))</f>
        <v/>
      </c>
      <c r="N3" t="str">
        <f t="shared" ref="N3:N66" si="4">IF(M3="","⏳ Acumulando datos",
    IF(M3&gt;=1.33,"✅ CAPAZ",
    IF(M3&gt;=1,"⚠️ MARGINAL",
    IF(M3&gt;=0.67,"❌ NO CAPAZ — Requiere mejora",
    "🚨 CRÍTICO — Acción inmediata"))))</f>
        <v>⏳ Acumulando datos</v>
      </c>
      <c r="O3">
        <f t="shared" ref="O3:O66" si="5">IF(J4="","",ROUND(F4-J4,2))</f>
        <v>-0.19</v>
      </c>
    </row>
    <row r="4" spans="1:15" x14ac:dyDescent="0.3">
      <c r="A4" t="str">
        <f t="shared" si="0"/>
        <v>MED-003</v>
      </c>
      <c r="B4" t="str">
        <f>INDEX(Lotes!$A$2:$A$53,INT((ROW()-2)/5)+1)</f>
        <v>RETEX-2024-001</v>
      </c>
      <c r="C4" s="2">
        <f>INDEX(Lotes!$B$2:$B$53,INT((ROW()-2)/5)+1)</f>
        <v>46095</v>
      </c>
      <c r="D4">
        <f>INDEX(Lotes!$C$2:$C$53,INT((ROW()-2)/5)+1)</f>
        <v>11</v>
      </c>
      <c r="E4" t="str">
        <f>INDEX(Lotes!$E$2:$E$53,INT((ROW()-2)/5)+1)</f>
        <v>Algodón</v>
      </c>
      <c r="F4">
        <v>98.39</v>
      </c>
      <c r="G4">
        <f>96</f>
        <v>96</v>
      </c>
      <c r="H4">
        <f>100</f>
        <v>100</v>
      </c>
      <c r="I4" t="str">
        <f t="shared" si="1"/>
        <v>✅ OK</v>
      </c>
      <c r="J4" s="6">
        <f>AVERAGE($F$2:F4)</f>
        <v>98.576666666666668</v>
      </c>
      <c r="K4" t="str">
        <f>IF(COUNTA($F$2:F4)&lt;20,"",_xlfn.STDEV.P($F$2:F4))</f>
        <v/>
      </c>
      <c r="L4" t="str">
        <f t="shared" si="2"/>
        <v/>
      </c>
      <c r="M4" t="str">
        <f t="shared" si="3"/>
        <v/>
      </c>
      <c r="N4" t="str">
        <f t="shared" si="4"/>
        <v>⏳ Acumulando datos</v>
      </c>
      <c r="O4">
        <f t="shared" si="5"/>
        <v>0.18</v>
      </c>
    </row>
    <row r="5" spans="1:15" x14ac:dyDescent="0.3">
      <c r="A5" t="str">
        <f t="shared" si="0"/>
        <v>MED-004</v>
      </c>
      <c r="B5" t="str">
        <f>INDEX(Lotes!$A$2:$A$53,INT((ROW()-2)/5)+1)</f>
        <v>RETEX-2024-001</v>
      </c>
      <c r="C5" s="2">
        <f>INDEX(Lotes!$B$2:$B$53,INT((ROW()-2)/5)+1)</f>
        <v>46095</v>
      </c>
      <c r="D5">
        <f>INDEX(Lotes!$C$2:$C$53,INT((ROW()-2)/5)+1)</f>
        <v>11</v>
      </c>
      <c r="E5" t="str">
        <f>INDEX(Lotes!$E$2:$E$53,INT((ROW()-2)/5)+1)</f>
        <v>Algodón</v>
      </c>
      <c r="F5">
        <v>98.82</v>
      </c>
      <c r="G5">
        <f>96</f>
        <v>96</v>
      </c>
      <c r="H5">
        <f>100</f>
        <v>100</v>
      </c>
      <c r="I5" t="str">
        <f t="shared" si="1"/>
        <v>✅ OK</v>
      </c>
      <c r="J5" s="6">
        <f>AVERAGE($F$2:F5)</f>
        <v>98.637500000000003</v>
      </c>
      <c r="K5" t="str">
        <f>IF(COUNTA($F$2:F5)&lt;20,"",_xlfn.STDEV.P($F$2:F5))</f>
        <v/>
      </c>
      <c r="L5" t="str">
        <f t="shared" si="2"/>
        <v/>
      </c>
      <c r="M5" t="str">
        <f t="shared" si="3"/>
        <v/>
      </c>
      <c r="N5" t="str">
        <f t="shared" si="4"/>
        <v>⏳ Acumulando datos</v>
      </c>
      <c r="O5">
        <f t="shared" si="5"/>
        <v>-0.14000000000000001</v>
      </c>
    </row>
    <row r="6" spans="1:15" x14ac:dyDescent="0.3">
      <c r="A6" t="str">
        <f t="shared" si="0"/>
        <v>MED-005</v>
      </c>
      <c r="B6" t="str">
        <f>INDEX(Lotes!$A$2:$A$53,INT((ROW()-2)/5)+1)</f>
        <v>RETEX-2024-001</v>
      </c>
      <c r="C6" s="2">
        <f>INDEX(Lotes!$B$2:$B$53,INT((ROW()-2)/5)+1)</f>
        <v>46095</v>
      </c>
      <c r="D6">
        <f>INDEX(Lotes!$C$2:$C$53,INT((ROW()-2)/5)+1)</f>
        <v>11</v>
      </c>
      <c r="E6" t="str">
        <f>INDEX(Lotes!$E$2:$E$53,INT((ROW()-2)/5)+1)</f>
        <v>Algodón</v>
      </c>
      <c r="F6">
        <v>98.46</v>
      </c>
      <c r="G6">
        <f>96</f>
        <v>96</v>
      </c>
      <c r="H6">
        <f>100</f>
        <v>100</v>
      </c>
      <c r="I6" t="str">
        <f t="shared" si="1"/>
        <v>✅ OK</v>
      </c>
      <c r="J6" s="6">
        <f>AVERAGE($F$2:F6)</f>
        <v>98.602000000000004</v>
      </c>
      <c r="K6" t="str">
        <f>IF(COUNTA($F$2:F6)&lt;20,"",_xlfn.STDEV.P($F$2:F6))</f>
        <v/>
      </c>
      <c r="L6" t="str">
        <f t="shared" si="2"/>
        <v/>
      </c>
      <c r="M6" t="str">
        <f t="shared" si="3"/>
        <v/>
      </c>
      <c r="N6" t="str">
        <f t="shared" si="4"/>
        <v>⏳ Acumulando datos</v>
      </c>
      <c r="O6">
        <f t="shared" si="5"/>
        <v>0.19</v>
      </c>
    </row>
    <row r="7" spans="1:15" x14ac:dyDescent="0.3">
      <c r="A7" t="str">
        <f t="shared" si="0"/>
        <v>MED-006</v>
      </c>
      <c r="B7" t="str">
        <f>INDEX(Lotes!$A$2:$A$53,INT((ROW()-2)/5)+1)</f>
        <v>RETEX-2024-002</v>
      </c>
      <c r="C7" s="2">
        <f>INDEX(Lotes!$B$2:$B$53,INT((ROW()-2)/5)+1)</f>
        <v>46102</v>
      </c>
      <c r="D7">
        <f>INDEX(Lotes!$C$2:$C$53,INT((ROW()-2)/5)+1)</f>
        <v>12</v>
      </c>
      <c r="E7" t="str">
        <f>INDEX(Lotes!$E$2:$E$53,INT((ROW()-2)/5)+1)</f>
        <v>Poliéster</v>
      </c>
      <c r="F7">
        <v>98.83</v>
      </c>
      <c r="G7">
        <f>96</f>
        <v>96</v>
      </c>
      <c r="H7">
        <f>100</f>
        <v>100</v>
      </c>
      <c r="I7" t="str">
        <f t="shared" si="1"/>
        <v>✅ OK</v>
      </c>
      <c r="J7" s="6">
        <f>AVERAGE($F$2:F7)</f>
        <v>98.64</v>
      </c>
      <c r="K7" t="str">
        <f>IF(COUNTA($F$2:F7)&lt;20,"",_xlfn.STDEV.P($F$2:F7))</f>
        <v/>
      </c>
      <c r="L7" t="str">
        <f t="shared" si="2"/>
        <v/>
      </c>
      <c r="M7" t="str">
        <f t="shared" si="3"/>
        <v/>
      </c>
      <c r="N7" t="str">
        <f t="shared" si="4"/>
        <v>⏳ Acumulando datos</v>
      </c>
      <c r="O7">
        <f t="shared" si="5"/>
        <v>0.17</v>
      </c>
    </row>
    <row r="8" spans="1:15" x14ac:dyDescent="0.3">
      <c r="A8" t="str">
        <f t="shared" si="0"/>
        <v>MED-007</v>
      </c>
      <c r="B8" t="str">
        <f>INDEX(Lotes!$A$2:$A$53,INT((ROW()-2)/5)+1)</f>
        <v>RETEX-2024-002</v>
      </c>
      <c r="C8" s="2">
        <f>INDEX(Lotes!$B$2:$B$53,INT((ROW()-2)/5)+1)</f>
        <v>46102</v>
      </c>
      <c r="D8">
        <f>INDEX(Lotes!$C$2:$C$53,INT((ROW()-2)/5)+1)</f>
        <v>12</v>
      </c>
      <c r="E8" t="str">
        <f>INDEX(Lotes!$E$2:$E$53,INT((ROW()-2)/5)+1)</f>
        <v>Poliéster</v>
      </c>
      <c r="F8">
        <v>98.84</v>
      </c>
      <c r="G8">
        <f>96</f>
        <v>96</v>
      </c>
      <c r="H8">
        <f>100</f>
        <v>100</v>
      </c>
      <c r="I8" t="str">
        <f t="shared" si="1"/>
        <v>✅ OK</v>
      </c>
      <c r="J8" s="6">
        <f>AVERAGE($F$2:F8)</f>
        <v>98.66857142857144</v>
      </c>
      <c r="K8" t="str">
        <f>IF(COUNTA($F$2:F8)&lt;20,"",_xlfn.STDEV.P($F$2:F8))</f>
        <v/>
      </c>
      <c r="L8" t="str">
        <f t="shared" si="2"/>
        <v/>
      </c>
      <c r="M8" t="str">
        <f t="shared" si="3"/>
        <v/>
      </c>
      <c r="N8" t="str">
        <f t="shared" si="4"/>
        <v>⏳ Acumulando datos</v>
      </c>
      <c r="O8">
        <f t="shared" si="5"/>
        <v>0.81</v>
      </c>
    </row>
    <row r="9" spans="1:15" x14ac:dyDescent="0.3">
      <c r="A9" t="str">
        <f t="shared" si="0"/>
        <v>MED-008</v>
      </c>
      <c r="B9" t="str">
        <f>INDEX(Lotes!$A$2:$A$53,INT((ROW()-2)/5)+1)</f>
        <v>RETEX-2024-002</v>
      </c>
      <c r="C9" s="2">
        <f>INDEX(Lotes!$B$2:$B$53,INT((ROW()-2)/5)+1)</f>
        <v>46102</v>
      </c>
      <c r="D9">
        <f>INDEX(Lotes!$C$2:$C$53,INT((ROW()-2)/5)+1)</f>
        <v>12</v>
      </c>
      <c r="E9" t="str">
        <f>INDEX(Lotes!$E$2:$E$53,INT((ROW()-2)/5)+1)</f>
        <v>Poliéster</v>
      </c>
      <c r="F9">
        <v>99.6</v>
      </c>
      <c r="G9">
        <f>96</f>
        <v>96</v>
      </c>
      <c r="H9">
        <f>100</f>
        <v>100</v>
      </c>
      <c r="I9" t="str">
        <f t="shared" si="1"/>
        <v>✅ OK</v>
      </c>
      <c r="J9" s="6">
        <f>AVERAGE($F$2:F9)</f>
        <v>98.785000000000011</v>
      </c>
      <c r="K9" t="str">
        <f>IF(COUNTA($F$2:F9)&lt;20,"",_xlfn.STDEV.P($F$2:F9))</f>
        <v/>
      </c>
      <c r="L9" t="str">
        <f t="shared" si="2"/>
        <v/>
      </c>
      <c r="M9" t="str">
        <f t="shared" si="3"/>
        <v/>
      </c>
      <c r="N9" t="str">
        <f t="shared" si="4"/>
        <v>⏳ Acumulando datos</v>
      </c>
      <c r="O9">
        <f t="shared" si="5"/>
        <v>-0.08</v>
      </c>
    </row>
    <row r="10" spans="1:15" x14ac:dyDescent="0.3">
      <c r="A10" t="str">
        <f t="shared" si="0"/>
        <v>MED-009</v>
      </c>
      <c r="B10" t="str">
        <f>INDEX(Lotes!$A$2:$A$53,INT((ROW()-2)/5)+1)</f>
        <v>RETEX-2024-002</v>
      </c>
      <c r="C10" s="2">
        <f>INDEX(Lotes!$B$2:$B$53,INT((ROW()-2)/5)+1)</f>
        <v>46102</v>
      </c>
      <c r="D10">
        <f>INDEX(Lotes!$C$2:$C$53,INT((ROW()-2)/5)+1)</f>
        <v>12</v>
      </c>
      <c r="E10" t="str">
        <f>INDEX(Lotes!$E$2:$E$53,INT((ROW()-2)/5)+1)</f>
        <v>Poliéster</v>
      </c>
      <c r="F10">
        <v>98.7</v>
      </c>
      <c r="G10">
        <f>96</f>
        <v>96</v>
      </c>
      <c r="H10">
        <f>100</f>
        <v>100</v>
      </c>
      <c r="I10" t="str">
        <f t="shared" si="1"/>
        <v>✅ OK</v>
      </c>
      <c r="J10" s="6">
        <f>AVERAGE($F$2:F10)</f>
        <v>98.77555555555557</v>
      </c>
      <c r="K10" t="str">
        <f>IF(COUNTA($F$2:F10)&lt;20,"",_xlfn.STDEV.P($F$2:F10))</f>
        <v/>
      </c>
      <c r="L10" t="str">
        <f t="shared" si="2"/>
        <v/>
      </c>
      <c r="M10" t="str">
        <f t="shared" si="3"/>
        <v/>
      </c>
      <c r="N10" t="str">
        <f t="shared" si="4"/>
        <v>⏳ Acumulando datos</v>
      </c>
      <c r="O10">
        <f t="shared" si="5"/>
        <v>-0.16</v>
      </c>
    </row>
    <row r="11" spans="1:15" x14ac:dyDescent="0.3">
      <c r="A11" t="str">
        <f t="shared" si="0"/>
        <v>MED-010</v>
      </c>
      <c r="B11" t="str">
        <f>INDEX(Lotes!$A$2:$A$53,INT((ROW()-2)/5)+1)</f>
        <v>RETEX-2024-002</v>
      </c>
      <c r="C11" s="2">
        <f>INDEX(Lotes!$B$2:$B$53,INT((ROW()-2)/5)+1)</f>
        <v>46102</v>
      </c>
      <c r="D11">
        <f>INDEX(Lotes!$C$2:$C$53,INT((ROW()-2)/5)+1)</f>
        <v>12</v>
      </c>
      <c r="E11" t="str">
        <f>INDEX(Lotes!$E$2:$E$53,INT((ROW()-2)/5)+1)</f>
        <v>Poliéster</v>
      </c>
      <c r="F11">
        <v>98.6</v>
      </c>
      <c r="G11">
        <f>96</f>
        <v>96</v>
      </c>
      <c r="H11">
        <f>100</f>
        <v>100</v>
      </c>
      <c r="I11" t="str">
        <f t="shared" si="1"/>
        <v>✅ OK</v>
      </c>
      <c r="J11" s="6">
        <f>AVERAGE($F$2:F11)</f>
        <v>98.75800000000001</v>
      </c>
      <c r="K11" t="str">
        <f>IF(COUNTA($F$2:F11)&lt;20,"",_xlfn.STDEV.P($F$2:F11))</f>
        <v/>
      </c>
      <c r="L11" t="str">
        <f t="shared" si="2"/>
        <v/>
      </c>
      <c r="M11" t="str">
        <f t="shared" si="3"/>
        <v/>
      </c>
      <c r="N11" t="str">
        <f t="shared" si="4"/>
        <v>⏳ Acumulando datos</v>
      </c>
      <c r="O11">
        <f t="shared" si="5"/>
        <v>-1.55</v>
      </c>
    </row>
    <row r="12" spans="1:15" x14ac:dyDescent="0.3">
      <c r="A12" t="str">
        <f t="shared" si="0"/>
        <v>MED-011</v>
      </c>
      <c r="B12" t="str">
        <f>INDEX(Lotes!$A$2:$A$53,INT((ROW()-2)/5)+1)</f>
        <v>RETEX-2024-003</v>
      </c>
      <c r="C12" s="2">
        <f>INDEX(Lotes!$B$2:$B$53,INT((ROW()-2)/5)+1)</f>
        <v>46109</v>
      </c>
      <c r="D12">
        <f>INDEX(Lotes!$C$2:$C$53,INT((ROW()-2)/5)+1)</f>
        <v>13</v>
      </c>
      <c r="E12" t="str">
        <f>INDEX(Lotes!$E$2:$E$53,INT((ROW()-2)/5)+1)</f>
        <v>Mezcla</v>
      </c>
      <c r="F12">
        <v>97.05</v>
      </c>
      <c r="G12">
        <f>96</f>
        <v>96</v>
      </c>
      <c r="H12">
        <f>100</f>
        <v>100</v>
      </c>
      <c r="I12" t="str">
        <f t="shared" si="1"/>
        <v>✅ OK</v>
      </c>
      <c r="J12" s="6">
        <f>AVERAGE($F$2:F12)</f>
        <v>98.602727272727279</v>
      </c>
      <c r="K12" t="str">
        <f>IF(COUNTA($F$2:F12)&lt;20,"",_xlfn.STDEV.P($F$2:F12))</f>
        <v/>
      </c>
      <c r="L12" t="str">
        <f t="shared" si="2"/>
        <v/>
      </c>
      <c r="M12" t="str">
        <f t="shared" si="3"/>
        <v/>
      </c>
      <c r="N12" t="str">
        <f t="shared" si="4"/>
        <v>⏳ Acumulando datos</v>
      </c>
      <c r="O12">
        <f t="shared" si="5"/>
        <v>-1.95</v>
      </c>
    </row>
    <row r="13" spans="1:15" x14ac:dyDescent="0.3">
      <c r="A13" t="str">
        <f t="shared" si="0"/>
        <v>MED-012</v>
      </c>
      <c r="B13" t="str">
        <f>INDEX(Lotes!$A$2:$A$53,INT((ROW()-2)/5)+1)</f>
        <v>RETEX-2024-003</v>
      </c>
      <c r="C13" s="2">
        <f>INDEX(Lotes!$B$2:$B$53,INT((ROW()-2)/5)+1)</f>
        <v>46109</v>
      </c>
      <c r="D13">
        <f>INDEX(Lotes!$C$2:$C$53,INT((ROW()-2)/5)+1)</f>
        <v>13</v>
      </c>
      <c r="E13" t="str">
        <f>INDEX(Lotes!$E$2:$E$53,INT((ROW()-2)/5)+1)</f>
        <v>Mezcla</v>
      </c>
      <c r="F13">
        <v>96.48</v>
      </c>
      <c r="G13">
        <f>96</f>
        <v>96</v>
      </c>
      <c r="H13">
        <f>100</f>
        <v>100</v>
      </c>
      <c r="I13" t="str">
        <f t="shared" si="1"/>
        <v>✅ OK</v>
      </c>
      <c r="J13" s="6">
        <f>AVERAGE($F$2:F13)</f>
        <v>98.425833333333344</v>
      </c>
      <c r="K13" t="str">
        <f>IF(COUNTA($F$2:F13)&lt;20,"",_xlfn.STDEV.P($F$2:F13))</f>
        <v/>
      </c>
      <c r="L13" t="str">
        <f t="shared" si="2"/>
        <v/>
      </c>
      <c r="M13" t="str">
        <f t="shared" si="3"/>
        <v/>
      </c>
      <c r="N13" t="str">
        <f t="shared" si="4"/>
        <v>⏳ Acumulando datos</v>
      </c>
      <c r="O13">
        <f t="shared" si="5"/>
        <v>0.22</v>
      </c>
    </row>
    <row r="14" spans="1:15" x14ac:dyDescent="0.3">
      <c r="A14" t="str">
        <f t="shared" si="0"/>
        <v>MED-013</v>
      </c>
      <c r="B14" t="str">
        <f>INDEX(Lotes!$A$2:$A$53,INT((ROW()-2)/5)+1)</f>
        <v>RETEX-2024-003</v>
      </c>
      <c r="C14" s="2">
        <f>INDEX(Lotes!$B$2:$B$53,INT((ROW()-2)/5)+1)</f>
        <v>46109</v>
      </c>
      <c r="D14">
        <f>INDEX(Lotes!$C$2:$C$53,INT((ROW()-2)/5)+1)</f>
        <v>13</v>
      </c>
      <c r="E14" t="str">
        <f>INDEX(Lotes!$E$2:$E$53,INT((ROW()-2)/5)+1)</f>
        <v>Mezcla</v>
      </c>
      <c r="F14">
        <v>98.66</v>
      </c>
      <c r="G14">
        <f>96</f>
        <v>96</v>
      </c>
      <c r="H14">
        <f>100</f>
        <v>100</v>
      </c>
      <c r="I14" t="str">
        <f t="shared" si="1"/>
        <v>✅ OK</v>
      </c>
      <c r="J14" s="6">
        <f>AVERAGE($F$2:F14)</f>
        <v>98.443846153846167</v>
      </c>
      <c r="K14" t="str">
        <f>IF(COUNTA($F$2:F14)&lt;20,"",_xlfn.STDEV.P($F$2:F14))</f>
        <v/>
      </c>
      <c r="L14" t="str">
        <f t="shared" si="2"/>
        <v/>
      </c>
      <c r="M14" t="str">
        <f t="shared" si="3"/>
        <v/>
      </c>
      <c r="N14" t="str">
        <f t="shared" si="4"/>
        <v>⏳ Acumulando datos</v>
      </c>
      <c r="O14">
        <f t="shared" si="5"/>
        <v>-0.66</v>
      </c>
    </row>
    <row r="15" spans="1:15" x14ac:dyDescent="0.3">
      <c r="A15" t="str">
        <f t="shared" si="0"/>
        <v>MED-014</v>
      </c>
      <c r="B15" t="str">
        <f>INDEX(Lotes!$A$2:$A$53,INT((ROW()-2)/5)+1)</f>
        <v>RETEX-2024-003</v>
      </c>
      <c r="C15" s="2">
        <f>INDEX(Lotes!$B$2:$B$53,INT((ROW()-2)/5)+1)</f>
        <v>46109</v>
      </c>
      <c r="D15">
        <f>INDEX(Lotes!$C$2:$C$53,INT((ROW()-2)/5)+1)</f>
        <v>13</v>
      </c>
      <c r="E15" t="str">
        <f>INDEX(Lotes!$E$2:$E$53,INT((ROW()-2)/5)+1)</f>
        <v>Mezcla</v>
      </c>
      <c r="F15">
        <v>97.73</v>
      </c>
      <c r="G15">
        <f>96</f>
        <v>96</v>
      </c>
      <c r="H15">
        <f>100</f>
        <v>100</v>
      </c>
      <c r="I15" t="str">
        <f t="shared" si="1"/>
        <v>✅ OK</v>
      </c>
      <c r="J15" s="6">
        <f>AVERAGE($F$2:F15)</f>
        <v>98.392857142857153</v>
      </c>
      <c r="K15" t="str">
        <f>IF(COUNTA($F$2:F15)&lt;20,"",_xlfn.STDEV.P($F$2:F15))</f>
        <v/>
      </c>
      <c r="L15" t="str">
        <f t="shared" si="2"/>
        <v/>
      </c>
      <c r="M15" t="str">
        <f t="shared" si="3"/>
        <v/>
      </c>
      <c r="N15" t="str">
        <f t="shared" si="4"/>
        <v>⏳ Acumulando datos</v>
      </c>
      <c r="O15">
        <f t="shared" si="5"/>
        <v>-0.93</v>
      </c>
    </row>
    <row r="16" spans="1:15" x14ac:dyDescent="0.3">
      <c r="A16" t="str">
        <f t="shared" si="0"/>
        <v>MED-015</v>
      </c>
      <c r="B16" t="str">
        <f>INDEX(Lotes!$A$2:$A$53,INT((ROW()-2)/5)+1)</f>
        <v>RETEX-2024-003</v>
      </c>
      <c r="C16" s="2">
        <f>INDEX(Lotes!$B$2:$B$53,INT((ROW()-2)/5)+1)</f>
        <v>46109</v>
      </c>
      <c r="D16">
        <f>INDEX(Lotes!$C$2:$C$53,INT((ROW()-2)/5)+1)</f>
        <v>13</v>
      </c>
      <c r="E16" t="str">
        <f>INDEX(Lotes!$E$2:$E$53,INT((ROW()-2)/5)+1)</f>
        <v>Mezcla</v>
      </c>
      <c r="F16">
        <v>97.4</v>
      </c>
      <c r="G16">
        <f>96</f>
        <v>96</v>
      </c>
      <c r="H16">
        <f>100</f>
        <v>100</v>
      </c>
      <c r="I16" t="str">
        <f t="shared" si="1"/>
        <v>✅ OK</v>
      </c>
      <c r="J16" s="6">
        <f>AVERAGE($F$2:F16)</f>
        <v>98.326666666666682</v>
      </c>
      <c r="K16" t="str">
        <f>IF(COUNTA($F$2:F16)&lt;20,"",_xlfn.STDEV.P($F$2:F16))</f>
        <v/>
      </c>
      <c r="L16" t="str">
        <f t="shared" si="2"/>
        <v/>
      </c>
      <c r="M16" t="str">
        <f t="shared" si="3"/>
        <v/>
      </c>
      <c r="N16" t="str">
        <f t="shared" si="4"/>
        <v>⏳ Acumulando datos</v>
      </c>
      <c r="O16">
        <f t="shared" si="5"/>
        <v>-0.86</v>
      </c>
    </row>
    <row r="17" spans="1:15" x14ac:dyDescent="0.3">
      <c r="A17" t="str">
        <f t="shared" si="0"/>
        <v>MED-016</v>
      </c>
      <c r="B17" t="str">
        <f>INDEX(Lotes!$A$2:$A$53,INT((ROW()-2)/5)+1)</f>
        <v>RETEX-2024-004</v>
      </c>
      <c r="C17" s="2">
        <f>INDEX(Lotes!$B$2:$B$53,INT((ROW()-2)/5)+1)</f>
        <v>46116</v>
      </c>
      <c r="D17">
        <f>INDEX(Lotes!$C$2:$C$53,INT((ROW()-2)/5)+1)</f>
        <v>14</v>
      </c>
      <c r="E17" t="str">
        <f>INDEX(Lotes!$E$2:$E$53,INT((ROW()-2)/5)+1)</f>
        <v>Algodón</v>
      </c>
      <c r="F17">
        <v>97.41</v>
      </c>
      <c r="G17">
        <f>96</f>
        <v>96</v>
      </c>
      <c r="H17">
        <f>100</f>
        <v>100</v>
      </c>
      <c r="I17" t="str">
        <f t="shared" si="1"/>
        <v>✅ OK</v>
      </c>
      <c r="J17" s="6">
        <f>AVERAGE($F$2:F17)</f>
        <v>98.269375000000025</v>
      </c>
      <c r="K17" t="str">
        <f>IF(COUNTA($F$2:F17)&lt;20,"",_xlfn.STDEV.P($F$2:F17))</f>
        <v/>
      </c>
      <c r="L17" t="str">
        <f t="shared" si="2"/>
        <v/>
      </c>
      <c r="M17" t="str">
        <f t="shared" si="3"/>
        <v/>
      </c>
      <c r="N17" t="str">
        <f t="shared" si="4"/>
        <v>⏳ Acumulando datos</v>
      </c>
      <c r="O17">
        <f t="shared" si="5"/>
        <v>-0.94</v>
      </c>
    </row>
    <row r="18" spans="1:15" x14ac:dyDescent="0.3">
      <c r="A18" t="str">
        <f t="shared" si="0"/>
        <v>MED-017</v>
      </c>
      <c r="B18" t="str">
        <f>INDEX(Lotes!$A$2:$A$53,INT((ROW()-2)/5)+1)</f>
        <v>RETEX-2024-004</v>
      </c>
      <c r="C18" s="2">
        <f>INDEX(Lotes!$B$2:$B$53,INT((ROW()-2)/5)+1)</f>
        <v>46116</v>
      </c>
      <c r="D18">
        <f>INDEX(Lotes!$C$2:$C$53,INT((ROW()-2)/5)+1)</f>
        <v>14</v>
      </c>
      <c r="E18" t="str">
        <f>INDEX(Lotes!$E$2:$E$53,INT((ROW()-2)/5)+1)</f>
        <v>Algodón</v>
      </c>
      <c r="F18">
        <v>97.27</v>
      </c>
      <c r="G18">
        <f>96</f>
        <v>96</v>
      </c>
      <c r="H18">
        <f>100</f>
        <v>100</v>
      </c>
      <c r="I18" t="str">
        <f t="shared" si="1"/>
        <v>✅ OK</v>
      </c>
      <c r="J18" s="6">
        <f>AVERAGE($F$2:F18)</f>
        <v>98.210588235294139</v>
      </c>
      <c r="K18" t="str">
        <f>IF(COUNTA($F$2:F18)&lt;20,"",_xlfn.STDEV.P($F$2:F18))</f>
        <v/>
      </c>
      <c r="L18" t="str">
        <f t="shared" si="2"/>
        <v/>
      </c>
      <c r="M18" t="str">
        <f t="shared" si="3"/>
        <v/>
      </c>
      <c r="N18" t="str">
        <f t="shared" si="4"/>
        <v>⏳ Acumulando datos</v>
      </c>
      <c r="O18">
        <f t="shared" si="5"/>
        <v>0.35</v>
      </c>
    </row>
    <row r="19" spans="1:15" x14ac:dyDescent="0.3">
      <c r="A19" t="str">
        <f t="shared" si="0"/>
        <v>MED-018</v>
      </c>
      <c r="B19" t="str">
        <f>INDEX(Lotes!$A$2:$A$53,INT((ROW()-2)/5)+1)</f>
        <v>RETEX-2024-004</v>
      </c>
      <c r="C19" s="2">
        <f>INDEX(Lotes!$B$2:$B$53,INT((ROW()-2)/5)+1)</f>
        <v>46116</v>
      </c>
      <c r="D19">
        <f>INDEX(Lotes!$C$2:$C$53,INT((ROW()-2)/5)+1)</f>
        <v>14</v>
      </c>
      <c r="E19" t="str">
        <f>INDEX(Lotes!$E$2:$E$53,INT((ROW()-2)/5)+1)</f>
        <v>Algodón</v>
      </c>
      <c r="F19">
        <v>98.58</v>
      </c>
      <c r="G19">
        <f>96</f>
        <v>96</v>
      </c>
      <c r="H19">
        <f>100</f>
        <v>100</v>
      </c>
      <c r="I19" t="str">
        <f t="shared" si="1"/>
        <v>✅ OK</v>
      </c>
      <c r="J19" s="6">
        <f>AVERAGE($F$2:F19)</f>
        <v>98.231111111111133</v>
      </c>
      <c r="K19" t="str">
        <f>IF(COUNTA($F$2:F19)&lt;20,"",_xlfn.STDEV.P($F$2:F19))</f>
        <v/>
      </c>
      <c r="L19" t="str">
        <f t="shared" si="2"/>
        <v/>
      </c>
      <c r="M19" t="str">
        <f t="shared" si="3"/>
        <v/>
      </c>
      <c r="N19" t="str">
        <f t="shared" si="4"/>
        <v>⏳ Acumulando datos</v>
      </c>
      <c r="O19">
        <f t="shared" si="5"/>
        <v>0</v>
      </c>
    </row>
    <row r="20" spans="1:15" x14ac:dyDescent="0.3">
      <c r="A20" t="str">
        <f t="shared" si="0"/>
        <v>MED-019</v>
      </c>
      <c r="B20" t="str">
        <f>INDEX(Lotes!$A$2:$A$53,INT((ROW()-2)/5)+1)</f>
        <v>RETEX-2024-004</v>
      </c>
      <c r="C20" s="2">
        <f>INDEX(Lotes!$B$2:$B$53,INT((ROW()-2)/5)+1)</f>
        <v>46116</v>
      </c>
      <c r="D20">
        <f>INDEX(Lotes!$C$2:$C$53,INT((ROW()-2)/5)+1)</f>
        <v>14</v>
      </c>
      <c r="E20" t="str">
        <f>INDEX(Lotes!$E$2:$E$53,INT((ROW()-2)/5)+1)</f>
        <v>Algodón</v>
      </c>
      <c r="F20">
        <v>98.23</v>
      </c>
      <c r="G20">
        <f>96</f>
        <v>96</v>
      </c>
      <c r="H20">
        <f>100</f>
        <v>100</v>
      </c>
      <c r="I20" t="str">
        <f t="shared" si="1"/>
        <v>✅ OK</v>
      </c>
      <c r="J20" s="6">
        <f>AVERAGE($F$2:F20)</f>
        <v>98.231052631578962</v>
      </c>
      <c r="K20" t="str">
        <f>IF(COUNTA($F$2:F20)&lt;20,"",_xlfn.STDEV.P($F$2:F20))</f>
        <v/>
      </c>
      <c r="L20" t="str">
        <f t="shared" si="2"/>
        <v/>
      </c>
      <c r="M20" t="str">
        <f t="shared" si="3"/>
        <v/>
      </c>
      <c r="N20" t="str">
        <f t="shared" si="4"/>
        <v>⏳ Acumulando datos</v>
      </c>
      <c r="O20">
        <f t="shared" si="5"/>
        <v>-0.14000000000000001</v>
      </c>
    </row>
    <row r="21" spans="1:15" x14ac:dyDescent="0.3">
      <c r="A21" t="str">
        <f t="shared" si="0"/>
        <v>MED-020</v>
      </c>
      <c r="B21" t="str">
        <f>INDEX(Lotes!$A$2:$A$53,INT((ROW()-2)/5)+1)</f>
        <v>RETEX-2024-004</v>
      </c>
      <c r="C21" s="2">
        <f>INDEX(Lotes!$B$2:$B$53,INT((ROW()-2)/5)+1)</f>
        <v>46116</v>
      </c>
      <c r="D21">
        <f>INDEX(Lotes!$C$2:$C$53,INT((ROW()-2)/5)+1)</f>
        <v>14</v>
      </c>
      <c r="E21" t="str">
        <f>INDEX(Lotes!$E$2:$E$53,INT((ROW()-2)/5)+1)</f>
        <v>Algodón</v>
      </c>
      <c r="F21">
        <v>98.08</v>
      </c>
      <c r="G21">
        <f>96</f>
        <v>96</v>
      </c>
      <c r="H21">
        <f>100</f>
        <v>100</v>
      </c>
      <c r="I21" t="str">
        <f t="shared" si="1"/>
        <v>✅ OK</v>
      </c>
      <c r="J21" s="6">
        <f>AVERAGE($F$2:F21)</f>
        <v>98.223500000000016</v>
      </c>
      <c r="K21">
        <f>IF(COUNTA($F$2:F21)&lt;20,"",_xlfn.STDEV.P($F$2:F21))</f>
        <v>0.76351997354358603</v>
      </c>
      <c r="L21">
        <f t="shared" si="2"/>
        <v>0.87</v>
      </c>
      <c r="M21">
        <f t="shared" si="3"/>
        <v>0.78</v>
      </c>
      <c r="N21" t="str">
        <f t="shared" si="4"/>
        <v>❌ NO CAPAZ — Requiere mejora</v>
      </c>
      <c r="O21">
        <f t="shared" si="5"/>
        <v>0.39</v>
      </c>
    </row>
    <row r="22" spans="1:15" x14ac:dyDescent="0.3">
      <c r="A22" t="str">
        <f t="shared" si="0"/>
        <v>MED-021</v>
      </c>
      <c r="B22" t="str">
        <f>INDEX(Lotes!$A$2:$A$53,INT((ROW()-2)/5)+1)</f>
        <v>RETEX-2024-005</v>
      </c>
      <c r="C22" s="2">
        <f>INDEX(Lotes!$B$2:$B$53,INT((ROW()-2)/5)+1)</f>
        <v>46123</v>
      </c>
      <c r="D22">
        <f>INDEX(Lotes!$C$2:$C$53,INT((ROW()-2)/5)+1)</f>
        <v>15</v>
      </c>
      <c r="E22" t="str">
        <f>INDEX(Lotes!$E$2:$E$53,INT((ROW()-2)/5)+1)</f>
        <v>Poliéster</v>
      </c>
      <c r="F22">
        <v>98.63</v>
      </c>
      <c r="G22">
        <f>96</f>
        <v>96</v>
      </c>
      <c r="H22">
        <f>100</f>
        <v>100</v>
      </c>
      <c r="I22" t="str">
        <f t="shared" si="1"/>
        <v>✅ OK</v>
      </c>
      <c r="J22" s="6">
        <f>AVERAGE($F$2:F22)</f>
        <v>98.242857142857162</v>
      </c>
      <c r="K22">
        <f>IF(COUNTA($F$2:F22)&lt;20,"",_xlfn.STDEV.P($F$2:F22))</f>
        <v>0.75013105430948135</v>
      </c>
      <c r="L22">
        <f t="shared" si="2"/>
        <v>0.89</v>
      </c>
      <c r="M22">
        <f t="shared" si="3"/>
        <v>0.78</v>
      </c>
      <c r="N22" t="str">
        <f t="shared" si="4"/>
        <v>❌ NO CAPAZ — Requiere mejora</v>
      </c>
      <c r="O22">
        <f t="shared" si="5"/>
        <v>0.56999999999999995</v>
      </c>
    </row>
    <row r="23" spans="1:15" x14ac:dyDescent="0.3">
      <c r="A23" t="str">
        <f t="shared" si="0"/>
        <v>MED-022</v>
      </c>
      <c r="B23" t="str">
        <f>INDEX(Lotes!$A$2:$A$53,INT((ROW()-2)/5)+1)</f>
        <v>RETEX-2024-005</v>
      </c>
      <c r="C23" s="2">
        <f>INDEX(Lotes!$B$2:$B$53,INT((ROW()-2)/5)+1)</f>
        <v>46123</v>
      </c>
      <c r="D23">
        <f>INDEX(Lotes!$C$2:$C$53,INT((ROW()-2)/5)+1)</f>
        <v>15</v>
      </c>
      <c r="E23" t="str">
        <f>INDEX(Lotes!$E$2:$E$53,INT((ROW()-2)/5)+1)</f>
        <v>Poliéster</v>
      </c>
      <c r="F23">
        <v>98.84</v>
      </c>
      <c r="G23">
        <f>96</f>
        <v>96</v>
      </c>
      <c r="H23">
        <f>100</f>
        <v>100</v>
      </c>
      <c r="I23" t="str">
        <f t="shared" si="1"/>
        <v>✅ OK</v>
      </c>
      <c r="J23" s="6">
        <f>AVERAGE($F$2:F23)</f>
        <v>98.270000000000024</v>
      </c>
      <c r="K23">
        <f>IF(COUNTA($F$2:F23)&lt;20,"",_xlfn.STDEV.P($F$2:F23))</f>
        <v>0.74336458692280172</v>
      </c>
      <c r="L23">
        <f t="shared" si="2"/>
        <v>0.9</v>
      </c>
      <c r="M23">
        <f t="shared" si="3"/>
        <v>0.78</v>
      </c>
      <c r="N23" t="str">
        <f t="shared" si="4"/>
        <v>❌ NO CAPAZ — Requiere mejora</v>
      </c>
      <c r="O23">
        <f t="shared" si="5"/>
        <v>0.77</v>
      </c>
    </row>
    <row r="24" spans="1:15" x14ac:dyDescent="0.3">
      <c r="A24" t="str">
        <f t="shared" si="0"/>
        <v>MED-023</v>
      </c>
      <c r="B24" t="str">
        <f>INDEX(Lotes!$A$2:$A$53,INT((ROW()-2)/5)+1)</f>
        <v>RETEX-2024-005</v>
      </c>
      <c r="C24" s="2">
        <f>INDEX(Lotes!$B$2:$B$53,INT((ROW()-2)/5)+1)</f>
        <v>46123</v>
      </c>
      <c r="D24">
        <f>INDEX(Lotes!$C$2:$C$53,INT((ROW()-2)/5)+1)</f>
        <v>15</v>
      </c>
      <c r="E24" t="str">
        <f>INDEX(Lotes!$E$2:$E$53,INT((ROW()-2)/5)+1)</f>
        <v>Poliéster</v>
      </c>
      <c r="F24">
        <v>99.08</v>
      </c>
      <c r="G24">
        <f>96</f>
        <v>96</v>
      </c>
      <c r="H24">
        <f>100</f>
        <v>100</v>
      </c>
      <c r="I24" t="str">
        <f t="shared" si="1"/>
        <v>✅ OK</v>
      </c>
      <c r="J24" s="6">
        <f>AVERAGE($F$2:F24)</f>
        <v>98.305217391304367</v>
      </c>
      <c r="K24">
        <f>IF(COUNTA($F$2:F24)&lt;20,"",_xlfn.STDEV.P($F$2:F24))</f>
        <v>0.7455541829387996</v>
      </c>
      <c r="L24">
        <f t="shared" si="2"/>
        <v>0.89</v>
      </c>
      <c r="M24">
        <f t="shared" si="3"/>
        <v>0.76</v>
      </c>
      <c r="N24" t="str">
        <f t="shared" si="4"/>
        <v>❌ NO CAPAZ — Requiere mejora</v>
      </c>
      <c r="O24">
        <f t="shared" si="5"/>
        <v>1.04</v>
      </c>
    </row>
    <row r="25" spans="1:15" x14ac:dyDescent="0.3">
      <c r="A25" t="str">
        <f t="shared" si="0"/>
        <v>MED-024</v>
      </c>
      <c r="B25" t="str">
        <f>INDEX(Lotes!$A$2:$A$53,INT((ROW()-2)/5)+1)</f>
        <v>RETEX-2024-005</v>
      </c>
      <c r="C25" s="2">
        <f>INDEX(Lotes!$B$2:$B$53,INT((ROW()-2)/5)+1)</f>
        <v>46123</v>
      </c>
      <c r="D25">
        <f>INDEX(Lotes!$C$2:$C$53,INT((ROW()-2)/5)+1)</f>
        <v>15</v>
      </c>
      <c r="E25" t="str">
        <f>INDEX(Lotes!$E$2:$E$53,INT((ROW()-2)/5)+1)</f>
        <v>Poliéster</v>
      </c>
      <c r="F25">
        <v>99.39</v>
      </c>
      <c r="G25">
        <f>96</f>
        <v>96</v>
      </c>
      <c r="H25">
        <f>100</f>
        <v>100</v>
      </c>
      <c r="I25" t="str">
        <f t="shared" si="1"/>
        <v>✅ OK</v>
      </c>
      <c r="J25" s="6">
        <f>AVERAGE($F$2:F25)</f>
        <v>98.350416666666675</v>
      </c>
      <c r="K25">
        <f>IF(COUNTA($F$2:F25)&lt;20,"",_xlfn.STDEV.P($F$2:F25))</f>
        <v>0.76136653003369825</v>
      </c>
      <c r="L25">
        <f t="shared" si="2"/>
        <v>0.88</v>
      </c>
      <c r="M25">
        <f t="shared" si="3"/>
        <v>0.72</v>
      </c>
      <c r="N25" t="str">
        <f t="shared" si="4"/>
        <v>❌ NO CAPAZ — Requiere mejora</v>
      </c>
      <c r="O25">
        <f t="shared" si="5"/>
        <v>0.37</v>
      </c>
    </row>
    <row r="26" spans="1:15" x14ac:dyDescent="0.3">
      <c r="A26" t="str">
        <f t="shared" si="0"/>
        <v>MED-025</v>
      </c>
      <c r="B26" t="str">
        <f>INDEX(Lotes!$A$2:$A$53,INT((ROW()-2)/5)+1)</f>
        <v>RETEX-2024-005</v>
      </c>
      <c r="C26" s="2">
        <f>INDEX(Lotes!$B$2:$B$53,INT((ROW()-2)/5)+1)</f>
        <v>46123</v>
      </c>
      <c r="D26">
        <f>INDEX(Lotes!$C$2:$C$53,INT((ROW()-2)/5)+1)</f>
        <v>15</v>
      </c>
      <c r="E26" t="str">
        <f>INDEX(Lotes!$E$2:$E$53,INT((ROW()-2)/5)+1)</f>
        <v>Poliéster</v>
      </c>
      <c r="F26">
        <v>98.74</v>
      </c>
      <c r="G26">
        <f>96</f>
        <v>96</v>
      </c>
      <c r="H26">
        <f>100</f>
        <v>100</v>
      </c>
      <c r="I26" t="str">
        <f t="shared" si="1"/>
        <v>✅ OK</v>
      </c>
      <c r="J26" s="6">
        <f>AVERAGE($F$2:F26)</f>
        <v>98.366</v>
      </c>
      <c r="K26">
        <f>IF(COUNTA($F$2:F26)&lt;20,"",_xlfn.STDEV.P($F$2:F26))</f>
        <v>0.74987999039846287</v>
      </c>
      <c r="L26">
        <f t="shared" si="2"/>
        <v>0.89</v>
      </c>
      <c r="M26">
        <f t="shared" si="3"/>
        <v>0.73</v>
      </c>
      <c r="N26" t="str">
        <f t="shared" si="4"/>
        <v>❌ NO CAPAZ — Requiere mejora</v>
      </c>
      <c r="O26">
        <f t="shared" si="5"/>
        <v>0.26</v>
      </c>
    </row>
    <row r="27" spans="1:15" x14ac:dyDescent="0.3">
      <c r="A27" t="str">
        <f t="shared" si="0"/>
        <v>MED-026</v>
      </c>
      <c r="B27" t="str">
        <f>INDEX(Lotes!$A$2:$A$53,INT((ROW()-2)/5)+1)</f>
        <v>RETEX-2024-006</v>
      </c>
      <c r="C27" s="2">
        <f>INDEX(Lotes!$B$2:$B$53,INT((ROW()-2)/5)+1)</f>
        <v>46130</v>
      </c>
      <c r="D27">
        <f>INDEX(Lotes!$C$2:$C$53,INT((ROW()-2)/5)+1)</f>
        <v>16</v>
      </c>
      <c r="E27" t="str">
        <f>INDEX(Lotes!$E$2:$E$53,INT((ROW()-2)/5)+1)</f>
        <v>Mezcla</v>
      </c>
      <c r="F27">
        <v>98.64</v>
      </c>
      <c r="G27">
        <f>96</f>
        <v>96</v>
      </c>
      <c r="H27">
        <f>100</f>
        <v>100</v>
      </c>
      <c r="I27" t="str">
        <f t="shared" si="1"/>
        <v>✅ OK</v>
      </c>
      <c r="J27" s="6">
        <f>AVERAGE($F$2:F27)</f>
        <v>98.376538461538459</v>
      </c>
      <c r="K27">
        <f>IF(COUNTA($F$2:F27)&lt;20,"",_xlfn.STDEV.P($F$2:F27))</f>
        <v>0.73720335524348191</v>
      </c>
      <c r="L27">
        <f t="shared" si="2"/>
        <v>0.9</v>
      </c>
      <c r="M27">
        <f t="shared" si="3"/>
        <v>0.73</v>
      </c>
      <c r="N27" t="str">
        <f t="shared" si="4"/>
        <v>❌ NO CAPAZ — Requiere mejora</v>
      </c>
      <c r="O27">
        <f t="shared" si="5"/>
        <v>-1.57</v>
      </c>
    </row>
    <row r="28" spans="1:15" x14ac:dyDescent="0.3">
      <c r="A28" t="str">
        <f t="shared" si="0"/>
        <v>MED-027</v>
      </c>
      <c r="B28" t="str">
        <f>INDEX(Lotes!$A$2:$A$53,INT((ROW()-2)/5)+1)</f>
        <v>RETEX-2024-006</v>
      </c>
      <c r="C28" s="2">
        <f>INDEX(Lotes!$B$2:$B$53,INT((ROW()-2)/5)+1)</f>
        <v>46130</v>
      </c>
      <c r="D28">
        <f>INDEX(Lotes!$C$2:$C$53,INT((ROW()-2)/5)+1)</f>
        <v>16</v>
      </c>
      <c r="E28" t="str">
        <f>INDEX(Lotes!$E$2:$E$53,INT((ROW()-2)/5)+1)</f>
        <v>Mezcla</v>
      </c>
      <c r="F28">
        <v>96.75</v>
      </c>
      <c r="G28">
        <f>96</f>
        <v>96</v>
      </c>
      <c r="H28">
        <f>100</f>
        <v>100</v>
      </c>
      <c r="I28" t="str">
        <f t="shared" si="1"/>
        <v>✅ OK</v>
      </c>
      <c r="J28" s="6">
        <f>AVERAGE($F$2:F28)</f>
        <v>98.316296296296301</v>
      </c>
      <c r="K28">
        <f>IF(COUNTA($F$2:F28)&lt;20,"",_xlfn.STDEV.P($F$2:F28))</f>
        <v>0.78593727083653753</v>
      </c>
      <c r="L28">
        <f t="shared" si="2"/>
        <v>0.85</v>
      </c>
      <c r="M28">
        <f t="shared" si="3"/>
        <v>0.71</v>
      </c>
      <c r="N28" t="str">
        <f t="shared" si="4"/>
        <v>❌ NO CAPAZ — Requiere mejora</v>
      </c>
      <c r="O28">
        <f t="shared" si="5"/>
        <v>-0.08</v>
      </c>
    </row>
    <row r="29" spans="1:15" x14ac:dyDescent="0.3">
      <c r="A29" t="str">
        <f t="shared" si="0"/>
        <v>MED-028</v>
      </c>
      <c r="B29" t="str">
        <f>INDEX(Lotes!$A$2:$A$53,INT((ROW()-2)/5)+1)</f>
        <v>RETEX-2024-006</v>
      </c>
      <c r="C29" s="2">
        <f>INDEX(Lotes!$B$2:$B$53,INT((ROW()-2)/5)+1)</f>
        <v>46130</v>
      </c>
      <c r="D29">
        <f>INDEX(Lotes!$C$2:$C$53,INT((ROW()-2)/5)+1)</f>
        <v>16</v>
      </c>
      <c r="E29" t="str">
        <f>INDEX(Lotes!$E$2:$E$53,INT((ROW()-2)/5)+1)</f>
        <v>Mezcla</v>
      </c>
      <c r="F29">
        <v>98.23</v>
      </c>
      <c r="G29">
        <f>96</f>
        <v>96</v>
      </c>
      <c r="H29">
        <f>100</f>
        <v>100</v>
      </c>
      <c r="I29" t="str">
        <f t="shared" si="1"/>
        <v>✅ OK</v>
      </c>
      <c r="J29" s="6">
        <f>AVERAGE($F$2:F29)</f>
        <v>98.313214285714281</v>
      </c>
      <c r="K29">
        <f>IF(COUNTA($F$2:F29)&lt;20,"",_xlfn.STDEV.P($F$2:F29))</f>
        <v>0.77194121524628867</v>
      </c>
      <c r="L29">
        <f t="shared" si="2"/>
        <v>0.86</v>
      </c>
      <c r="M29">
        <f t="shared" si="3"/>
        <v>0.73</v>
      </c>
      <c r="N29" t="str">
        <f t="shared" si="4"/>
        <v>❌ NO CAPAZ — Requiere mejora</v>
      </c>
      <c r="O29">
        <f t="shared" si="5"/>
        <v>-0.78</v>
      </c>
    </row>
    <row r="30" spans="1:15" x14ac:dyDescent="0.3">
      <c r="A30" t="str">
        <f t="shared" si="0"/>
        <v>MED-029</v>
      </c>
      <c r="B30" t="str">
        <f>INDEX(Lotes!$A$2:$A$53,INT((ROW()-2)/5)+1)</f>
        <v>RETEX-2024-006</v>
      </c>
      <c r="C30" s="2">
        <f>INDEX(Lotes!$B$2:$B$53,INT((ROW()-2)/5)+1)</f>
        <v>46130</v>
      </c>
      <c r="D30">
        <f>INDEX(Lotes!$C$2:$C$53,INT((ROW()-2)/5)+1)</f>
        <v>16</v>
      </c>
      <c r="E30" t="str">
        <f>INDEX(Lotes!$E$2:$E$53,INT((ROW()-2)/5)+1)</f>
        <v>Mezcla</v>
      </c>
      <c r="F30">
        <v>97.51</v>
      </c>
      <c r="G30">
        <f>96</f>
        <v>96</v>
      </c>
      <c r="H30">
        <f>100</f>
        <v>100</v>
      </c>
      <c r="I30" t="str">
        <f t="shared" si="1"/>
        <v>✅ OK</v>
      </c>
      <c r="J30" s="6">
        <f>AVERAGE($F$2:F30)</f>
        <v>98.285517241379324</v>
      </c>
      <c r="K30">
        <f>IF(COUNTA($F$2:F30)&lt;20,"",_xlfn.STDEV.P($F$2:F30))</f>
        <v>0.77254432394611117</v>
      </c>
      <c r="L30">
        <f t="shared" si="2"/>
        <v>0.86</v>
      </c>
      <c r="M30">
        <f t="shared" si="3"/>
        <v>0.74</v>
      </c>
      <c r="N30" t="str">
        <f t="shared" si="4"/>
        <v>❌ NO CAPAZ — Requiere mejora</v>
      </c>
      <c r="O30">
        <f t="shared" si="5"/>
        <v>-1.86</v>
      </c>
    </row>
    <row r="31" spans="1:15" x14ac:dyDescent="0.3">
      <c r="A31" t="str">
        <f t="shared" si="0"/>
        <v>MED-030</v>
      </c>
      <c r="B31" t="str">
        <f>INDEX(Lotes!$A$2:$A$53,INT((ROW()-2)/5)+1)</f>
        <v>RETEX-2024-006</v>
      </c>
      <c r="C31" s="2">
        <f>INDEX(Lotes!$B$2:$B$53,INT((ROW()-2)/5)+1)</f>
        <v>46130</v>
      </c>
      <c r="D31">
        <f>INDEX(Lotes!$C$2:$C$53,INT((ROW()-2)/5)+1)</f>
        <v>16</v>
      </c>
      <c r="E31" t="str">
        <f>INDEX(Lotes!$E$2:$E$53,INT((ROW()-2)/5)+1)</f>
        <v>Mezcla</v>
      </c>
      <c r="F31">
        <v>96.36</v>
      </c>
      <c r="G31">
        <f>96</f>
        <v>96</v>
      </c>
      <c r="H31">
        <f>100</f>
        <v>100</v>
      </c>
      <c r="I31" t="str">
        <f t="shared" si="1"/>
        <v>✅ OK</v>
      </c>
      <c r="J31" s="6">
        <f>AVERAGE($F$2:F31)</f>
        <v>98.221333333333348</v>
      </c>
      <c r="K31">
        <f>IF(COUNTA($F$2:F31)&lt;20,"",_xlfn.STDEV.P($F$2:F31))</f>
        <v>0.83450477663235756</v>
      </c>
      <c r="L31">
        <f t="shared" si="2"/>
        <v>0.8</v>
      </c>
      <c r="M31">
        <f t="shared" si="3"/>
        <v>0.71</v>
      </c>
      <c r="N31" t="str">
        <f t="shared" si="4"/>
        <v>❌ NO CAPAZ — Requiere mejora</v>
      </c>
      <c r="O31">
        <f t="shared" si="5"/>
        <v>0.46</v>
      </c>
    </row>
    <row r="32" spans="1:15" x14ac:dyDescent="0.3">
      <c r="A32" t="str">
        <f t="shared" si="0"/>
        <v>MED-031</v>
      </c>
      <c r="B32" t="str">
        <f>INDEX(Lotes!$A$2:$A$53,INT((ROW()-2)/5)+1)</f>
        <v>RETEX-2024-007</v>
      </c>
      <c r="C32" s="2">
        <f>INDEX(Lotes!$B$2:$B$53,INT((ROW()-2)/5)+1)</f>
        <v>46137</v>
      </c>
      <c r="D32">
        <f>INDEX(Lotes!$C$2:$C$53,INT((ROW()-2)/5)+1)</f>
        <v>17</v>
      </c>
      <c r="E32" t="str">
        <f>INDEX(Lotes!$E$2:$E$53,INT((ROW()-2)/5)+1)</f>
        <v>Algodón</v>
      </c>
      <c r="F32">
        <v>98.7</v>
      </c>
      <c r="G32">
        <f>96</f>
        <v>96</v>
      </c>
      <c r="H32">
        <f>100</f>
        <v>100</v>
      </c>
      <c r="I32" t="str">
        <f t="shared" si="1"/>
        <v>✅ OK</v>
      </c>
      <c r="J32" s="6">
        <f>AVERAGE($F$2:F32)</f>
        <v>98.236774193548385</v>
      </c>
      <c r="K32">
        <f>IF(COUNTA($F$2:F32)&lt;20,"",_xlfn.STDEV.P($F$2:F32))</f>
        <v>0.82527956982242323</v>
      </c>
      <c r="L32">
        <f t="shared" si="2"/>
        <v>0.81</v>
      </c>
      <c r="M32">
        <f t="shared" si="3"/>
        <v>0.71</v>
      </c>
      <c r="N32" t="str">
        <f t="shared" si="4"/>
        <v>❌ NO CAPAZ — Requiere mejora</v>
      </c>
      <c r="O32">
        <f t="shared" si="5"/>
        <v>-0.3</v>
      </c>
    </row>
    <row r="33" spans="1:15" x14ac:dyDescent="0.3">
      <c r="A33" t="str">
        <f t="shared" si="0"/>
        <v>MED-032</v>
      </c>
      <c r="B33" t="str">
        <f>INDEX(Lotes!$A$2:$A$53,INT((ROW()-2)/5)+1)</f>
        <v>RETEX-2024-007</v>
      </c>
      <c r="C33" s="2">
        <f>INDEX(Lotes!$B$2:$B$53,INT((ROW()-2)/5)+1)</f>
        <v>46137</v>
      </c>
      <c r="D33">
        <f>INDEX(Lotes!$C$2:$C$53,INT((ROW()-2)/5)+1)</f>
        <v>17</v>
      </c>
      <c r="E33" t="str">
        <f>INDEX(Lotes!$E$2:$E$53,INT((ROW()-2)/5)+1)</f>
        <v>Algodón</v>
      </c>
      <c r="F33">
        <v>97.93</v>
      </c>
      <c r="G33">
        <f>96</f>
        <v>96</v>
      </c>
      <c r="H33">
        <f>100</f>
        <v>100</v>
      </c>
      <c r="I33" t="str">
        <f t="shared" si="1"/>
        <v>✅ OK</v>
      </c>
      <c r="J33" s="6">
        <f>AVERAGE($F$2:F33)</f>
        <v>98.227187499999999</v>
      </c>
      <c r="K33">
        <f>IF(COUNTA($F$2:F33)&lt;20,"",_xlfn.STDEV.P($F$2:F33))</f>
        <v>0.81403406860139982</v>
      </c>
      <c r="L33">
        <f t="shared" si="2"/>
        <v>0.82</v>
      </c>
      <c r="M33">
        <f t="shared" si="3"/>
        <v>0.73</v>
      </c>
      <c r="N33" t="str">
        <f t="shared" si="4"/>
        <v>❌ NO CAPAZ — Requiere mejora</v>
      </c>
      <c r="O33">
        <f t="shared" si="5"/>
        <v>-0.3</v>
      </c>
    </row>
    <row r="34" spans="1:15" x14ac:dyDescent="0.3">
      <c r="A34" t="str">
        <f t="shared" si="0"/>
        <v>MED-033</v>
      </c>
      <c r="B34" t="str">
        <f>INDEX(Lotes!$A$2:$A$53,INT((ROW()-2)/5)+1)</f>
        <v>RETEX-2024-007</v>
      </c>
      <c r="C34" s="2">
        <f>INDEX(Lotes!$B$2:$B$53,INT((ROW()-2)/5)+1)</f>
        <v>46137</v>
      </c>
      <c r="D34">
        <f>INDEX(Lotes!$C$2:$C$53,INT((ROW()-2)/5)+1)</f>
        <v>17</v>
      </c>
      <c r="E34" t="str">
        <f>INDEX(Lotes!$E$2:$E$53,INT((ROW()-2)/5)+1)</f>
        <v>Algodón</v>
      </c>
      <c r="F34">
        <v>97.92</v>
      </c>
      <c r="G34">
        <f>96</f>
        <v>96</v>
      </c>
      <c r="H34">
        <f>100</f>
        <v>100</v>
      </c>
      <c r="I34" t="str">
        <f t="shared" si="1"/>
        <v>✅ OK</v>
      </c>
      <c r="J34" s="6">
        <f>AVERAGE($F$2:F34)</f>
        <v>98.217878787878789</v>
      </c>
      <c r="K34">
        <f>IF(COUNTA($F$2:F34)&lt;20,"",_xlfn.STDEV.P($F$2:F34))</f>
        <v>0.8033330475634749</v>
      </c>
      <c r="L34">
        <f t="shared" si="2"/>
        <v>0.83</v>
      </c>
      <c r="M34">
        <f t="shared" si="3"/>
        <v>0.74</v>
      </c>
      <c r="N34" t="str">
        <f t="shared" si="4"/>
        <v>❌ NO CAPAZ — Requiere mejora</v>
      </c>
      <c r="O34">
        <f t="shared" si="5"/>
        <v>0.33</v>
      </c>
    </row>
    <row r="35" spans="1:15" x14ac:dyDescent="0.3">
      <c r="A35" t="str">
        <f t="shared" si="0"/>
        <v>MED-034</v>
      </c>
      <c r="B35" t="str">
        <f>INDEX(Lotes!$A$2:$A$53,INT((ROW()-2)/5)+1)</f>
        <v>RETEX-2024-007</v>
      </c>
      <c r="C35" s="2">
        <f>INDEX(Lotes!$B$2:$B$53,INT((ROW()-2)/5)+1)</f>
        <v>46137</v>
      </c>
      <c r="D35">
        <f>INDEX(Lotes!$C$2:$C$53,INT((ROW()-2)/5)+1)</f>
        <v>17</v>
      </c>
      <c r="E35" t="str">
        <f>INDEX(Lotes!$E$2:$E$53,INT((ROW()-2)/5)+1)</f>
        <v>Algodón</v>
      </c>
      <c r="F35">
        <v>98.56</v>
      </c>
      <c r="G35">
        <f>96</f>
        <v>96</v>
      </c>
      <c r="H35">
        <f>100</f>
        <v>100</v>
      </c>
      <c r="I35" t="str">
        <f t="shared" si="1"/>
        <v>✅ OK</v>
      </c>
      <c r="J35" s="6">
        <f>AVERAGE($F$2:F35)</f>
        <v>98.227941176470594</v>
      </c>
      <c r="K35">
        <f>IF(COUNTA($F$2:F35)&lt;20,"",_xlfn.STDEV.P($F$2:F35))</f>
        <v>0.79353927739909957</v>
      </c>
      <c r="L35">
        <f t="shared" si="2"/>
        <v>0.84</v>
      </c>
      <c r="M35">
        <f t="shared" si="3"/>
        <v>0.74</v>
      </c>
      <c r="N35" t="str">
        <f t="shared" si="4"/>
        <v>❌ NO CAPAZ — Requiere mejora</v>
      </c>
      <c r="O35">
        <f t="shared" si="5"/>
        <v>-0.8</v>
      </c>
    </row>
    <row r="36" spans="1:15" x14ac:dyDescent="0.3">
      <c r="A36" t="str">
        <f t="shared" si="0"/>
        <v>MED-035</v>
      </c>
      <c r="B36" t="str">
        <f>INDEX(Lotes!$A$2:$A$53,INT((ROW()-2)/5)+1)</f>
        <v>RETEX-2024-007</v>
      </c>
      <c r="C36" s="2">
        <f>INDEX(Lotes!$B$2:$B$53,INT((ROW()-2)/5)+1)</f>
        <v>46137</v>
      </c>
      <c r="D36">
        <f>INDEX(Lotes!$C$2:$C$53,INT((ROW()-2)/5)+1)</f>
        <v>17</v>
      </c>
      <c r="E36" t="str">
        <f>INDEX(Lotes!$E$2:$E$53,INT((ROW()-2)/5)+1)</f>
        <v>Algodón</v>
      </c>
      <c r="F36">
        <v>97.4</v>
      </c>
      <c r="G36">
        <f>96</f>
        <v>96</v>
      </c>
      <c r="H36">
        <f>100</f>
        <v>100</v>
      </c>
      <c r="I36" t="str">
        <f t="shared" si="1"/>
        <v>✅ OK</v>
      </c>
      <c r="J36" s="6">
        <f>AVERAGE($F$2:F36)</f>
        <v>98.204285714285717</v>
      </c>
      <c r="K36">
        <f>IF(COUNTA($F$2:F36)&lt;20,"",_xlfn.STDEV.P($F$2:F36))</f>
        <v>0.79419064179213461</v>
      </c>
      <c r="L36">
        <f t="shared" si="2"/>
        <v>0.84</v>
      </c>
      <c r="M36">
        <f t="shared" si="3"/>
        <v>0.75</v>
      </c>
      <c r="N36" t="str">
        <f t="shared" si="4"/>
        <v>❌ NO CAPAZ — Requiere mejora</v>
      </c>
      <c r="O36">
        <f t="shared" si="5"/>
        <v>0.92</v>
      </c>
    </row>
    <row r="37" spans="1:15" x14ac:dyDescent="0.3">
      <c r="A37" t="str">
        <f t="shared" si="0"/>
        <v>MED-036</v>
      </c>
      <c r="B37" t="str">
        <f>INDEX(Lotes!$A$2:$A$53,INT((ROW()-2)/5)+1)</f>
        <v>RETEX-2024-008</v>
      </c>
      <c r="C37" s="2">
        <f>INDEX(Lotes!$B$2:$B$53,INT((ROW()-2)/5)+1)</f>
        <v>46144</v>
      </c>
      <c r="D37">
        <f>INDEX(Lotes!$C$2:$C$53,INT((ROW()-2)/5)+1)</f>
        <v>18</v>
      </c>
      <c r="E37" t="str">
        <f>INDEX(Lotes!$E$2:$E$53,INT((ROW()-2)/5)+1)</f>
        <v>Poliéster</v>
      </c>
      <c r="F37">
        <v>99.15</v>
      </c>
      <c r="G37">
        <f>96</f>
        <v>96</v>
      </c>
      <c r="H37">
        <f>100</f>
        <v>100</v>
      </c>
      <c r="I37" t="str">
        <f t="shared" si="1"/>
        <v>✅ OK</v>
      </c>
      <c r="J37" s="6">
        <f>AVERAGE($F$2:F37)</f>
        <v>98.230555555555554</v>
      </c>
      <c r="K37">
        <f>IF(COUNTA($F$2:F37)&lt;20,"",_xlfn.STDEV.P($F$2:F37))</f>
        <v>0.79835575627676514</v>
      </c>
      <c r="L37">
        <f t="shared" si="2"/>
        <v>0.84</v>
      </c>
      <c r="M37">
        <f t="shared" si="3"/>
        <v>0.74</v>
      </c>
      <c r="N37" t="str">
        <f t="shared" si="4"/>
        <v>❌ NO CAPAZ — Requiere mejora</v>
      </c>
      <c r="O37">
        <f t="shared" si="5"/>
        <v>0.3</v>
      </c>
    </row>
    <row r="38" spans="1:15" x14ac:dyDescent="0.3">
      <c r="A38" t="str">
        <f t="shared" si="0"/>
        <v>MED-037</v>
      </c>
      <c r="B38" t="str">
        <f>INDEX(Lotes!$A$2:$A$53,INT((ROW()-2)/5)+1)</f>
        <v>RETEX-2024-008</v>
      </c>
      <c r="C38" s="2">
        <f>INDEX(Lotes!$B$2:$B$53,INT((ROW()-2)/5)+1)</f>
        <v>46144</v>
      </c>
      <c r="D38">
        <f>INDEX(Lotes!$C$2:$C$53,INT((ROW()-2)/5)+1)</f>
        <v>18</v>
      </c>
      <c r="E38" t="str">
        <f>INDEX(Lotes!$E$2:$E$53,INT((ROW()-2)/5)+1)</f>
        <v>Poliéster</v>
      </c>
      <c r="F38">
        <v>98.54</v>
      </c>
      <c r="G38">
        <f>96</f>
        <v>96</v>
      </c>
      <c r="H38">
        <f>100</f>
        <v>100</v>
      </c>
      <c r="I38" t="str">
        <f t="shared" si="1"/>
        <v>✅ OK</v>
      </c>
      <c r="J38" s="6">
        <f>AVERAGE($F$2:F38)</f>
        <v>98.238918918918927</v>
      </c>
      <c r="K38">
        <f>IF(COUNTA($F$2:F38)&lt;20,"",_xlfn.STDEV.P($F$2:F38))</f>
        <v>0.7890904232903605</v>
      </c>
      <c r="L38">
        <f t="shared" si="2"/>
        <v>0.84</v>
      </c>
      <c r="M38">
        <f t="shared" si="3"/>
        <v>0.74</v>
      </c>
      <c r="N38" t="str">
        <f t="shared" si="4"/>
        <v>❌ NO CAPAZ — Requiere mejora</v>
      </c>
      <c r="O38">
        <f t="shared" si="5"/>
        <v>0.77</v>
      </c>
    </row>
    <row r="39" spans="1:15" x14ac:dyDescent="0.3">
      <c r="A39" t="str">
        <f t="shared" si="0"/>
        <v>MED-038</v>
      </c>
      <c r="B39" t="str">
        <f>INDEX(Lotes!$A$2:$A$53,INT((ROW()-2)/5)+1)</f>
        <v>RETEX-2024-008</v>
      </c>
      <c r="C39" s="2">
        <f>INDEX(Lotes!$B$2:$B$53,INT((ROW()-2)/5)+1)</f>
        <v>46144</v>
      </c>
      <c r="D39">
        <f>INDEX(Lotes!$C$2:$C$53,INT((ROW()-2)/5)+1)</f>
        <v>18</v>
      </c>
      <c r="E39" t="str">
        <f>INDEX(Lotes!$E$2:$E$53,INT((ROW()-2)/5)+1)</f>
        <v>Poliéster</v>
      </c>
      <c r="F39">
        <v>99.03</v>
      </c>
      <c r="G39">
        <f>96</f>
        <v>96</v>
      </c>
      <c r="H39">
        <f>100</f>
        <v>100</v>
      </c>
      <c r="I39" t="str">
        <f t="shared" si="1"/>
        <v>✅ OK</v>
      </c>
      <c r="J39" s="6">
        <f>AVERAGE($F$2:F39)</f>
        <v>98.259736842105269</v>
      </c>
      <c r="K39">
        <f>IF(COUNTA($F$2:F39)&lt;20,"",_xlfn.STDEV.P($F$2:F39))</f>
        <v>0.78886823275034867</v>
      </c>
      <c r="L39">
        <f t="shared" si="2"/>
        <v>0.85</v>
      </c>
      <c r="M39">
        <f t="shared" si="3"/>
        <v>0.74</v>
      </c>
      <c r="N39" t="str">
        <f t="shared" si="4"/>
        <v>❌ NO CAPAZ — Requiere mejora</v>
      </c>
      <c r="O39">
        <f t="shared" si="5"/>
        <v>1.33</v>
      </c>
    </row>
    <row r="40" spans="1:15" x14ac:dyDescent="0.3">
      <c r="A40" t="str">
        <f t="shared" si="0"/>
        <v>MED-039</v>
      </c>
      <c r="B40" t="str">
        <f>INDEX(Lotes!$A$2:$A$53,INT((ROW()-2)/5)+1)</f>
        <v>RETEX-2024-008</v>
      </c>
      <c r="C40" s="2">
        <f>INDEX(Lotes!$B$2:$B$53,INT((ROW()-2)/5)+1)</f>
        <v>46144</v>
      </c>
      <c r="D40">
        <f>INDEX(Lotes!$C$2:$C$53,INT((ROW()-2)/5)+1)</f>
        <v>18</v>
      </c>
      <c r="E40" t="str">
        <f>INDEX(Lotes!$E$2:$E$53,INT((ROW()-2)/5)+1)</f>
        <v>Poliéster</v>
      </c>
      <c r="F40">
        <v>99.62</v>
      </c>
      <c r="G40">
        <f>96</f>
        <v>96</v>
      </c>
      <c r="H40">
        <f>100</f>
        <v>100</v>
      </c>
      <c r="I40" t="str">
        <f t="shared" si="1"/>
        <v>✅ OK</v>
      </c>
      <c r="J40" s="6">
        <f>AVERAGE($F$2:F40)</f>
        <v>98.294615384615398</v>
      </c>
      <c r="K40">
        <f>IF(COUNTA($F$2:F40)&lt;20,"",_xlfn.STDEV.P($F$2:F40))</f>
        <v>0.80782660666134265</v>
      </c>
      <c r="L40">
        <f t="shared" si="2"/>
        <v>0.83</v>
      </c>
      <c r="M40">
        <f t="shared" si="3"/>
        <v>0.7</v>
      </c>
      <c r="N40" t="str">
        <f t="shared" si="4"/>
        <v>❌ NO CAPAZ — Requiere mejora</v>
      </c>
      <c r="O40">
        <f t="shared" si="5"/>
        <v>0.56000000000000005</v>
      </c>
    </row>
    <row r="41" spans="1:15" x14ac:dyDescent="0.3">
      <c r="A41" t="str">
        <f t="shared" si="0"/>
        <v>MED-040</v>
      </c>
      <c r="B41" t="str">
        <f>INDEX(Lotes!$A$2:$A$53,INT((ROW()-2)/5)+1)</f>
        <v>RETEX-2024-008</v>
      </c>
      <c r="C41" s="2">
        <f>INDEX(Lotes!$B$2:$B$53,INT((ROW()-2)/5)+1)</f>
        <v>46144</v>
      </c>
      <c r="D41">
        <f>INDEX(Lotes!$C$2:$C$53,INT((ROW()-2)/5)+1)</f>
        <v>18</v>
      </c>
      <c r="E41" t="str">
        <f>INDEX(Lotes!$E$2:$E$53,INT((ROW()-2)/5)+1)</f>
        <v>Poliéster</v>
      </c>
      <c r="F41">
        <v>98.87</v>
      </c>
      <c r="G41">
        <f>96</f>
        <v>96</v>
      </c>
      <c r="H41">
        <f>100</f>
        <v>100</v>
      </c>
      <c r="I41" t="str">
        <f t="shared" si="1"/>
        <v>✅ OK</v>
      </c>
      <c r="J41" s="6">
        <f>AVERAGE($F$2:F41)</f>
        <v>98.308999999999997</v>
      </c>
      <c r="K41">
        <f>IF(COUNTA($F$2:F41)&lt;20,"",_xlfn.STDEV.P($F$2:F41))</f>
        <v>0.80270729409916253</v>
      </c>
      <c r="L41">
        <f t="shared" si="2"/>
        <v>0.83</v>
      </c>
      <c r="M41">
        <f t="shared" si="3"/>
        <v>0.7</v>
      </c>
      <c r="N41" t="str">
        <f t="shared" si="4"/>
        <v>❌ NO CAPAZ — Requiere mejora</v>
      </c>
      <c r="O41">
        <f t="shared" si="5"/>
        <v>-1.53</v>
      </c>
    </row>
    <row r="42" spans="1:15" x14ac:dyDescent="0.3">
      <c r="A42" t="str">
        <f t="shared" si="0"/>
        <v>MED-041</v>
      </c>
      <c r="B42" t="str">
        <f>INDEX(Lotes!$A$2:$A$53,INT((ROW()-2)/5)+1)</f>
        <v>RETEX-2024-009</v>
      </c>
      <c r="C42" s="2">
        <f>INDEX(Lotes!$B$2:$B$53,INT((ROW()-2)/5)+1)</f>
        <v>46151</v>
      </c>
      <c r="D42">
        <f>INDEX(Lotes!$C$2:$C$53,INT((ROW()-2)/5)+1)</f>
        <v>19</v>
      </c>
      <c r="E42" t="str">
        <f>INDEX(Lotes!$E$2:$E$53,INT((ROW()-2)/5)+1)</f>
        <v>Mezcla</v>
      </c>
      <c r="F42">
        <v>96.74</v>
      </c>
      <c r="G42">
        <f>96</f>
        <v>96</v>
      </c>
      <c r="H42">
        <f>100</f>
        <v>100</v>
      </c>
      <c r="I42" t="str">
        <f t="shared" si="1"/>
        <v>✅ OK</v>
      </c>
      <c r="J42" s="6">
        <f>AVERAGE($F$2:F42)</f>
        <v>98.270731707317069</v>
      </c>
      <c r="K42">
        <f>IF(COUNTA($F$2:F42)&lt;20,"",_xlfn.STDEV.P($F$2:F42))</f>
        <v>0.82897641922360643</v>
      </c>
      <c r="L42">
        <f t="shared" si="2"/>
        <v>0.8</v>
      </c>
      <c r="M42">
        <f t="shared" si="3"/>
        <v>0.7</v>
      </c>
      <c r="N42" t="str">
        <f t="shared" si="4"/>
        <v>❌ NO CAPAZ — Requiere mejora</v>
      </c>
      <c r="O42">
        <f t="shared" si="5"/>
        <v>-0.83</v>
      </c>
    </row>
    <row r="43" spans="1:15" x14ac:dyDescent="0.3">
      <c r="A43" t="str">
        <f t="shared" si="0"/>
        <v>MED-042</v>
      </c>
      <c r="B43" t="str">
        <f>INDEX(Lotes!$A$2:$A$53,INT((ROW()-2)/5)+1)</f>
        <v>RETEX-2024-009</v>
      </c>
      <c r="C43" s="2">
        <f>INDEX(Lotes!$B$2:$B$53,INT((ROW()-2)/5)+1)</f>
        <v>46151</v>
      </c>
      <c r="D43">
        <f>INDEX(Lotes!$C$2:$C$53,INT((ROW()-2)/5)+1)</f>
        <v>19</v>
      </c>
      <c r="E43" t="str">
        <f>INDEX(Lotes!$E$2:$E$53,INT((ROW()-2)/5)+1)</f>
        <v>Mezcla</v>
      </c>
      <c r="F43">
        <v>97.42</v>
      </c>
      <c r="G43">
        <f>96</f>
        <v>96</v>
      </c>
      <c r="H43">
        <f>100</f>
        <v>100</v>
      </c>
      <c r="I43" t="str">
        <f t="shared" si="1"/>
        <v>✅ OK</v>
      </c>
      <c r="J43" s="6">
        <f>AVERAGE($F$2:F43)</f>
        <v>98.250476190476178</v>
      </c>
      <c r="K43">
        <f>IF(COUNTA($F$2:F43)&lt;20,"",_xlfn.STDEV.P($F$2:F43))</f>
        <v>0.82925368736263982</v>
      </c>
      <c r="L43">
        <f t="shared" si="2"/>
        <v>0.8</v>
      </c>
      <c r="M43">
        <f t="shared" si="3"/>
        <v>0.7</v>
      </c>
      <c r="N43" t="str">
        <f t="shared" si="4"/>
        <v>❌ NO CAPAZ — Requiere mejora</v>
      </c>
      <c r="O43">
        <f t="shared" si="5"/>
        <v>1.01</v>
      </c>
    </row>
    <row r="44" spans="1:15" x14ac:dyDescent="0.3">
      <c r="A44" t="str">
        <f t="shared" si="0"/>
        <v>MED-043</v>
      </c>
      <c r="B44" t="str">
        <f>INDEX(Lotes!$A$2:$A$53,INT((ROW()-2)/5)+1)</f>
        <v>RETEX-2024-009</v>
      </c>
      <c r="C44" s="2">
        <f>INDEX(Lotes!$B$2:$B$53,INT((ROW()-2)/5)+1)</f>
        <v>46151</v>
      </c>
      <c r="D44">
        <f>INDEX(Lotes!$C$2:$C$53,INT((ROW()-2)/5)+1)</f>
        <v>19</v>
      </c>
      <c r="E44" t="str">
        <f>INDEX(Lotes!$E$2:$E$53,INT((ROW()-2)/5)+1)</f>
        <v>Mezcla</v>
      </c>
      <c r="F44">
        <v>99.28</v>
      </c>
      <c r="G44">
        <f>96</f>
        <v>96</v>
      </c>
      <c r="H44">
        <f>100</f>
        <v>100</v>
      </c>
      <c r="I44" t="str">
        <f t="shared" si="1"/>
        <v>✅ OK</v>
      </c>
      <c r="J44" s="6">
        <f>AVERAGE($F$2:F44)</f>
        <v>98.274418604651146</v>
      </c>
      <c r="K44">
        <f>IF(COUNTA($F$2:F44)&lt;20,"",_xlfn.STDEV.P($F$2:F44))</f>
        <v>0.83411365665118209</v>
      </c>
      <c r="L44">
        <f t="shared" si="2"/>
        <v>0.8</v>
      </c>
      <c r="M44">
        <f t="shared" si="3"/>
        <v>0.69</v>
      </c>
      <c r="N44" t="str">
        <f t="shared" si="4"/>
        <v>❌ NO CAPAZ — Requiere mejora</v>
      </c>
      <c r="O44">
        <f t="shared" si="5"/>
        <v>-0.83</v>
      </c>
    </row>
    <row r="45" spans="1:15" x14ac:dyDescent="0.3">
      <c r="A45" t="str">
        <f t="shared" si="0"/>
        <v>MED-044</v>
      </c>
      <c r="B45" t="str">
        <f>INDEX(Lotes!$A$2:$A$53,INT((ROW()-2)/5)+1)</f>
        <v>RETEX-2024-009</v>
      </c>
      <c r="C45" s="2">
        <f>INDEX(Lotes!$B$2:$B$53,INT((ROW()-2)/5)+1)</f>
        <v>46151</v>
      </c>
      <c r="D45">
        <f>INDEX(Lotes!$C$2:$C$53,INT((ROW()-2)/5)+1)</f>
        <v>19</v>
      </c>
      <c r="E45" t="str">
        <f>INDEX(Lotes!$E$2:$E$53,INT((ROW()-2)/5)+1)</f>
        <v>Mezcla</v>
      </c>
      <c r="F45">
        <v>97.43</v>
      </c>
      <c r="G45">
        <f>96</f>
        <v>96</v>
      </c>
      <c r="H45">
        <f>100</f>
        <v>100</v>
      </c>
      <c r="I45" t="str">
        <f t="shared" si="1"/>
        <v>✅ OK</v>
      </c>
      <c r="J45" s="6">
        <f>AVERAGE($F$2:F45)</f>
        <v>98.255227272727268</v>
      </c>
      <c r="K45">
        <f>IF(COUNTA($F$2:F45)&lt;20,"",_xlfn.STDEV.P($F$2:F45))</f>
        <v>0.83412852900051415</v>
      </c>
      <c r="L45">
        <f t="shared" si="2"/>
        <v>0.8</v>
      </c>
      <c r="M45">
        <f t="shared" si="3"/>
        <v>0.7</v>
      </c>
      <c r="N45" t="str">
        <f t="shared" si="4"/>
        <v>❌ NO CAPAZ — Requiere mejora</v>
      </c>
      <c r="O45">
        <f t="shared" si="5"/>
        <v>-0.82</v>
      </c>
    </row>
    <row r="46" spans="1:15" x14ac:dyDescent="0.3">
      <c r="A46" t="str">
        <f t="shared" si="0"/>
        <v>MED-045</v>
      </c>
      <c r="B46" t="str">
        <f>INDEX(Lotes!$A$2:$A$53,INT((ROW()-2)/5)+1)</f>
        <v>RETEX-2024-009</v>
      </c>
      <c r="C46" s="2">
        <f>INDEX(Lotes!$B$2:$B$53,INT((ROW()-2)/5)+1)</f>
        <v>46151</v>
      </c>
      <c r="D46">
        <f>INDEX(Lotes!$C$2:$C$53,INT((ROW()-2)/5)+1)</f>
        <v>19</v>
      </c>
      <c r="E46" t="str">
        <f>INDEX(Lotes!$E$2:$E$53,INT((ROW()-2)/5)+1)</f>
        <v>Mezcla</v>
      </c>
      <c r="F46">
        <v>97.42</v>
      </c>
      <c r="G46">
        <f>96</f>
        <v>96</v>
      </c>
      <c r="H46">
        <f>100</f>
        <v>100</v>
      </c>
      <c r="I46" t="str">
        <f t="shared" si="1"/>
        <v>✅ OK</v>
      </c>
      <c r="J46" s="6">
        <f>AVERAGE($F$2:F46)</f>
        <v>98.236666666666665</v>
      </c>
      <c r="K46">
        <f>IF(COUNTA($F$2:F46)&lt;20,"",_xlfn.STDEV.P($F$2:F46))</f>
        <v>0.83394644112596727</v>
      </c>
      <c r="L46">
        <f t="shared" si="2"/>
        <v>0.8</v>
      </c>
      <c r="M46">
        <f t="shared" si="3"/>
        <v>0.7</v>
      </c>
      <c r="N46" t="str">
        <f t="shared" si="4"/>
        <v>❌ NO CAPAZ — Requiere mejora</v>
      </c>
      <c r="O46">
        <f t="shared" si="5"/>
        <v>0.3</v>
      </c>
    </row>
    <row r="47" spans="1:15" x14ac:dyDescent="0.3">
      <c r="A47" t="str">
        <f t="shared" si="0"/>
        <v>MED-046</v>
      </c>
      <c r="B47" t="str">
        <f>INDEX(Lotes!$A$2:$A$53,INT((ROW()-2)/5)+1)</f>
        <v>RETEX-2024-010</v>
      </c>
      <c r="C47" s="2">
        <f>INDEX(Lotes!$B$2:$B$53,INT((ROW()-2)/5)+1)</f>
        <v>46158</v>
      </c>
      <c r="D47">
        <f>INDEX(Lotes!$C$2:$C$53,INT((ROW()-2)/5)+1)</f>
        <v>20</v>
      </c>
      <c r="E47" t="str">
        <f>INDEX(Lotes!$E$2:$E$53,INT((ROW()-2)/5)+1)</f>
        <v>Algodón</v>
      </c>
      <c r="F47">
        <v>98.54</v>
      </c>
      <c r="G47">
        <f>96</f>
        <v>96</v>
      </c>
      <c r="H47">
        <f>100</f>
        <v>100</v>
      </c>
      <c r="I47" t="str">
        <f t="shared" si="1"/>
        <v>✅ OK</v>
      </c>
      <c r="J47" s="6">
        <f>AVERAGE($F$2:F47)</f>
        <v>98.243260869565205</v>
      </c>
      <c r="K47">
        <f>IF(COUNTA($F$2:F47)&lt;20,"",_xlfn.STDEV.P($F$2:F47))</f>
        <v>0.82601730255545047</v>
      </c>
      <c r="L47">
        <f t="shared" si="2"/>
        <v>0.81</v>
      </c>
      <c r="M47">
        <f t="shared" si="3"/>
        <v>0.71</v>
      </c>
      <c r="N47" t="str">
        <f t="shared" si="4"/>
        <v>❌ NO CAPAZ — Requiere mejora</v>
      </c>
      <c r="O47">
        <f t="shared" si="5"/>
        <v>0.13</v>
      </c>
    </row>
    <row r="48" spans="1:15" x14ac:dyDescent="0.3">
      <c r="A48" t="str">
        <f t="shared" si="0"/>
        <v>MED-047</v>
      </c>
      <c r="B48" t="str">
        <f>INDEX(Lotes!$A$2:$A$53,INT((ROW()-2)/5)+1)</f>
        <v>RETEX-2024-010</v>
      </c>
      <c r="C48" s="2">
        <f>INDEX(Lotes!$B$2:$B$53,INT((ROW()-2)/5)+1)</f>
        <v>46158</v>
      </c>
      <c r="D48">
        <f>INDEX(Lotes!$C$2:$C$53,INT((ROW()-2)/5)+1)</f>
        <v>20</v>
      </c>
      <c r="E48" t="str">
        <f>INDEX(Lotes!$E$2:$E$53,INT((ROW()-2)/5)+1)</f>
        <v>Algodón</v>
      </c>
      <c r="F48">
        <v>98.38</v>
      </c>
      <c r="G48">
        <f>96</f>
        <v>96</v>
      </c>
      <c r="H48">
        <f>100</f>
        <v>100</v>
      </c>
      <c r="I48" t="str">
        <f t="shared" si="1"/>
        <v>✅ OK</v>
      </c>
      <c r="J48" s="6">
        <f>AVERAGE($F$2:F48)</f>
        <v>98.246170212765946</v>
      </c>
      <c r="K48">
        <f>IF(COUNTA($F$2:F48)&lt;20,"",_xlfn.STDEV.P($F$2:F48))</f>
        <v>0.81742083536660837</v>
      </c>
      <c r="L48">
        <f t="shared" si="2"/>
        <v>0.82</v>
      </c>
      <c r="M48">
        <f t="shared" si="3"/>
        <v>0.72</v>
      </c>
      <c r="N48" t="str">
        <f t="shared" si="4"/>
        <v>❌ NO CAPAZ — Requiere mejora</v>
      </c>
      <c r="O48">
        <f t="shared" si="5"/>
        <v>-0.04</v>
      </c>
    </row>
    <row r="49" spans="1:15" x14ac:dyDescent="0.3">
      <c r="A49" t="str">
        <f t="shared" si="0"/>
        <v>MED-048</v>
      </c>
      <c r="B49" t="str">
        <f>INDEX(Lotes!$A$2:$A$53,INT((ROW()-2)/5)+1)</f>
        <v>RETEX-2024-010</v>
      </c>
      <c r="C49" s="2">
        <f>INDEX(Lotes!$B$2:$B$53,INT((ROW()-2)/5)+1)</f>
        <v>46158</v>
      </c>
      <c r="D49">
        <f>INDEX(Lotes!$C$2:$C$53,INT((ROW()-2)/5)+1)</f>
        <v>20</v>
      </c>
      <c r="E49" t="str">
        <f>INDEX(Lotes!$E$2:$E$53,INT((ROW()-2)/5)+1)</f>
        <v>Algodón</v>
      </c>
      <c r="F49">
        <v>98.21</v>
      </c>
      <c r="G49">
        <f>96</f>
        <v>96</v>
      </c>
      <c r="H49">
        <f>100</f>
        <v>100</v>
      </c>
      <c r="I49" t="str">
        <f t="shared" si="1"/>
        <v>✅ OK</v>
      </c>
      <c r="J49" s="6">
        <f>AVERAGE($F$2:F49)</f>
        <v>98.245416666666657</v>
      </c>
      <c r="K49">
        <f>IF(COUNTA($F$2:F49)&lt;20,"",_xlfn.STDEV.P($F$2:F49))</f>
        <v>0.80887771617360182</v>
      </c>
      <c r="L49">
        <f t="shared" si="2"/>
        <v>0.82</v>
      </c>
      <c r="M49">
        <f t="shared" si="3"/>
        <v>0.72</v>
      </c>
      <c r="N49" t="str">
        <f t="shared" si="4"/>
        <v>❌ NO CAPAZ — Requiere mejora</v>
      </c>
      <c r="O49">
        <f t="shared" si="5"/>
        <v>-0.16</v>
      </c>
    </row>
    <row r="50" spans="1:15" x14ac:dyDescent="0.3">
      <c r="A50" t="str">
        <f t="shared" si="0"/>
        <v>MED-049</v>
      </c>
      <c r="B50" t="str">
        <f>INDEX(Lotes!$A$2:$A$53,INT((ROW()-2)/5)+1)</f>
        <v>RETEX-2024-010</v>
      </c>
      <c r="C50" s="2">
        <f>INDEX(Lotes!$B$2:$B$53,INT((ROW()-2)/5)+1)</f>
        <v>46158</v>
      </c>
      <c r="D50">
        <f>INDEX(Lotes!$C$2:$C$53,INT((ROW()-2)/5)+1)</f>
        <v>20</v>
      </c>
      <c r="E50" t="str">
        <f>INDEX(Lotes!$E$2:$E$53,INT((ROW()-2)/5)+1)</f>
        <v>Algodón</v>
      </c>
      <c r="F50">
        <v>98.08</v>
      </c>
      <c r="G50">
        <f>96</f>
        <v>96</v>
      </c>
      <c r="H50">
        <f>100</f>
        <v>100</v>
      </c>
      <c r="I50" t="str">
        <f t="shared" si="1"/>
        <v>✅ OK</v>
      </c>
      <c r="J50" s="6">
        <f>AVERAGE($F$2:F50)</f>
        <v>98.242040816326522</v>
      </c>
      <c r="K50">
        <f>IF(COUNTA($F$2:F50)&lt;20,"",_xlfn.STDEV.P($F$2:F50))</f>
        <v>0.80092288500315834</v>
      </c>
      <c r="L50">
        <f t="shared" si="2"/>
        <v>0.83</v>
      </c>
      <c r="M50">
        <f t="shared" si="3"/>
        <v>0.73</v>
      </c>
      <c r="N50" t="str">
        <f t="shared" si="4"/>
        <v>❌ NO CAPAZ — Requiere mejora</v>
      </c>
      <c r="O50">
        <f t="shared" si="5"/>
        <v>-1.1499999999999999</v>
      </c>
    </row>
    <row r="51" spans="1:15" x14ac:dyDescent="0.3">
      <c r="A51" t="str">
        <f t="shared" si="0"/>
        <v>MED-050</v>
      </c>
      <c r="B51" t="str">
        <f>INDEX(Lotes!$A$2:$A$53,INT((ROW()-2)/5)+1)</f>
        <v>RETEX-2024-010</v>
      </c>
      <c r="C51" s="2">
        <f>INDEX(Lotes!$B$2:$B$53,INT((ROW()-2)/5)+1)</f>
        <v>46158</v>
      </c>
      <c r="D51">
        <f>INDEX(Lotes!$C$2:$C$53,INT((ROW()-2)/5)+1)</f>
        <v>20</v>
      </c>
      <c r="E51" t="str">
        <f>INDEX(Lotes!$E$2:$E$53,INT((ROW()-2)/5)+1)</f>
        <v>Algodón</v>
      </c>
      <c r="F51">
        <v>97.07</v>
      </c>
      <c r="G51">
        <f>96</f>
        <v>96</v>
      </c>
      <c r="H51">
        <f>100</f>
        <v>100</v>
      </c>
      <c r="I51" t="str">
        <f t="shared" si="1"/>
        <v>✅ OK</v>
      </c>
      <c r="J51" s="6">
        <f>AVERAGE($F$2:F51)</f>
        <v>98.218599999999981</v>
      </c>
      <c r="K51">
        <f>IF(COUNTA($F$2:F51)&lt;20,"",_xlfn.STDEV.P($F$2:F51))</f>
        <v>0.80967403317631481</v>
      </c>
      <c r="L51">
        <f t="shared" si="2"/>
        <v>0.82</v>
      </c>
      <c r="M51">
        <f t="shared" si="3"/>
        <v>0.73</v>
      </c>
      <c r="N51" t="str">
        <f t="shared" si="4"/>
        <v>❌ NO CAPAZ — Requiere mejora</v>
      </c>
      <c r="O51">
        <f t="shared" si="5"/>
        <v>0.53</v>
      </c>
    </row>
    <row r="52" spans="1:15" x14ac:dyDescent="0.3">
      <c r="A52" t="str">
        <f t="shared" si="0"/>
        <v>MED-051</v>
      </c>
      <c r="B52" t="str">
        <f>INDEX(Lotes!$A$2:$A$53,INT((ROW()-2)/5)+1)</f>
        <v>RETEX-2024-011</v>
      </c>
      <c r="C52" s="2">
        <f>INDEX(Lotes!$B$2:$B$53,INT((ROW()-2)/5)+1)</f>
        <v>46165</v>
      </c>
      <c r="D52">
        <f>INDEX(Lotes!$C$2:$C$53,INT((ROW()-2)/5)+1)</f>
        <v>21</v>
      </c>
      <c r="E52" t="str">
        <f>INDEX(Lotes!$E$2:$E$53,INT((ROW()-2)/5)+1)</f>
        <v>Poliéster</v>
      </c>
      <c r="F52">
        <v>98.76</v>
      </c>
      <c r="G52">
        <f>96</f>
        <v>96</v>
      </c>
      <c r="H52">
        <f>100</f>
        <v>100</v>
      </c>
      <c r="I52" t="str">
        <f t="shared" si="1"/>
        <v>✅ OK</v>
      </c>
      <c r="J52" s="6">
        <f>AVERAGE($F$2:F52)</f>
        <v>98.2292156862745</v>
      </c>
      <c r="K52">
        <f>IF(COUNTA($F$2:F52)&lt;20,"",_xlfn.STDEV.P($F$2:F52))</f>
        <v>0.8052032824252835</v>
      </c>
      <c r="L52">
        <f t="shared" si="2"/>
        <v>0.83</v>
      </c>
      <c r="M52">
        <f t="shared" si="3"/>
        <v>0.73</v>
      </c>
      <c r="N52" t="str">
        <f t="shared" si="4"/>
        <v>❌ NO CAPAZ — Requiere mejora</v>
      </c>
      <c r="O52">
        <f t="shared" si="5"/>
        <v>0.87</v>
      </c>
    </row>
    <row r="53" spans="1:15" x14ac:dyDescent="0.3">
      <c r="A53" t="str">
        <f t="shared" si="0"/>
        <v>MED-052</v>
      </c>
      <c r="B53" t="str">
        <f>INDEX(Lotes!$A$2:$A$53,INT((ROW()-2)/5)+1)</f>
        <v>RETEX-2024-011</v>
      </c>
      <c r="C53" s="2">
        <f>INDEX(Lotes!$B$2:$B$53,INT((ROW()-2)/5)+1)</f>
        <v>46165</v>
      </c>
      <c r="D53">
        <f>INDEX(Lotes!$C$2:$C$53,INT((ROW()-2)/5)+1)</f>
        <v>21</v>
      </c>
      <c r="E53" t="str">
        <f>INDEX(Lotes!$E$2:$E$53,INT((ROW()-2)/5)+1)</f>
        <v>Poliéster</v>
      </c>
      <c r="F53">
        <v>99.12</v>
      </c>
      <c r="G53">
        <f>96</f>
        <v>96</v>
      </c>
      <c r="H53">
        <f>100</f>
        <v>100</v>
      </c>
      <c r="I53" t="str">
        <f t="shared" si="1"/>
        <v>✅ OK</v>
      </c>
      <c r="J53" s="6">
        <f>AVERAGE($F$2:F53)</f>
        <v>98.246346153846147</v>
      </c>
      <c r="K53">
        <f>IF(COUNTA($F$2:F53)&lt;20,"",_xlfn.STDEV.P($F$2:F53))</f>
        <v>0.80675281898902951</v>
      </c>
      <c r="L53">
        <f t="shared" si="2"/>
        <v>0.83</v>
      </c>
      <c r="M53">
        <f t="shared" si="3"/>
        <v>0.72</v>
      </c>
      <c r="N53" t="str">
        <f t="shared" si="4"/>
        <v>❌ NO CAPAZ — Requiere mejora</v>
      </c>
      <c r="O53">
        <f t="shared" si="5"/>
        <v>0.75</v>
      </c>
    </row>
    <row r="54" spans="1:15" x14ac:dyDescent="0.3">
      <c r="A54" t="str">
        <f t="shared" si="0"/>
        <v>MED-053</v>
      </c>
      <c r="B54" t="str">
        <f>INDEX(Lotes!$A$2:$A$53,INT((ROW()-2)/5)+1)</f>
        <v>RETEX-2024-011</v>
      </c>
      <c r="C54" s="2">
        <f>INDEX(Lotes!$B$2:$B$53,INT((ROW()-2)/5)+1)</f>
        <v>46165</v>
      </c>
      <c r="D54">
        <f>INDEX(Lotes!$C$2:$C$53,INT((ROW()-2)/5)+1)</f>
        <v>21</v>
      </c>
      <c r="E54" t="str">
        <f>INDEX(Lotes!$E$2:$E$53,INT((ROW()-2)/5)+1)</f>
        <v>Poliéster</v>
      </c>
      <c r="F54">
        <v>99.01</v>
      </c>
      <c r="G54">
        <f>96</f>
        <v>96</v>
      </c>
      <c r="H54">
        <f>100</f>
        <v>100</v>
      </c>
      <c r="I54" t="str">
        <f t="shared" si="1"/>
        <v>✅ OK</v>
      </c>
      <c r="J54" s="6">
        <f>AVERAGE($F$2:F54)</f>
        <v>98.260754716981126</v>
      </c>
      <c r="K54">
        <f>IF(COUNTA($F$2:F54)&lt;20,"",_xlfn.STDEV.P($F$2:F54))</f>
        <v>0.80583215878874426</v>
      </c>
      <c r="L54">
        <f t="shared" si="2"/>
        <v>0.83</v>
      </c>
      <c r="M54">
        <f t="shared" si="3"/>
        <v>0.72</v>
      </c>
      <c r="N54" t="str">
        <f t="shared" si="4"/>
        <v>❌ NO CAPAZ — Requiere mejora</v>
      </c>
      <c r="O54">
        <f t="shared" si="5"/>
        <v>0.69</v>
      </c>
    </row>
    <row r="55" spans="1:15" x14ac:dyDescent="0.3">
      <c r="A55" t="str">
        <f t="shared" si="0"/>
        <v>MED-054</v>
      </c>
      <c r="B55" t="str">
        <f>INDEX(Lotes!$A$2:$A$53,INT((ROW()-2)/5)+1)</f>
        <v>RETEX-2024-011</v>
      </c>
      <c r="C55" s="2">
        <f>INDEX(Lotes!$B$2:$B$53,INT((ROW()-2)/5)+1)</f>
        <v>46165</v>
      </c>
      <c r="D55">
        <f>INDEX(Lotes!$C$2:$C$53,INT((ROW()-2)/5)+1)</f>
        <v>21</v>
      </c>
      <c r="E55" t="str">
        <f>INDEX(Lotes!$E$2:$E$53,INT((ROW()-2)/5)+1)</f>
        <v>Poliéster</v>
      </c>
      <c r="F55">
        <v>98.96</v>
      </c>
      <c r="G55">
        <f>96</f>
        <v>96</v>
      </c>
      <c r="H55">
        <f>100</f>
        <v>100</v>
      </c>
      <c r="I55" t="str">
        <f t="shared" si="1"/>
        <v>✅ OK</v>
      </c>
      <c r="J55" s="6">
        <f>AVERAGE($F$2:F55)</f>
        <v>98.273703703703703</v>
      </c>
      <c r="K55">
        <f>IF(COUNTA($F$2:F55)&lt;20,"",_xlfn.STDEV.P($F$2:F55))</f>
        <v>0.80388246859824997</v>
      </c>
      <c r="L55">
        <f t="shared" si="2"/>
        <v>0.83</v>
      </c>
      <c r="M55">
        <f t="shared" si="3"/>
        <v>0.72</v>
      </c>
      <c r="N55" t="str">
        <f t="shared" si="4"/>
        <v>❌ NO CAPAZ — Requiere mejora</v>
      </c>
      <c r="O55">
        <f t="shared" si="5"/>
        <v>0.25</v>
      </c>
    </row>
    <row r="56" spans="1:15" x14ac:dyDescent="0.3">
      <c r="A56" t="str">
        <f t="shared" si="0"/>
        <v>MED-055</v>
      </c>
      <c r="B56" t="str">
        <f>INDEX(Lotes!$A$2:$A$53,INT((ROW()-2)/5)+1)</f>
        <v>RETEX-2024-011</v>
      </c>
      <c r="C56" s="2">
        <f>INDEX(Lotes!$B$2:$B$53,INT((ROW()-2)/5)+1)</f>
        <v>46165</v>
      </c>
      <c r="D56">
        <f>INDEX(Lotes!$C$2:$C$53,INT((ROW()-2)/5)+1)</f>
        <v>21</v>
      </c>
      <c r="E56" t="str">
        <f>INDEX(Lotes!$E$2:$E$53,INT((ROW()-2)/5)+1)</f>
        <v>Poliéster</v>
      </c>
      <c r="F56">
        <v>98.53</v>
      </c>
      <c r="G56">
        <f>96</f>
        <v>96</v>
      </c>
      <c r="H56">
        <f>100</f>
        <v>100</v>
      </c>
      <c r="I56" t="str">
        <f t="shared" si="1"/>
        <v>✅ OK</v>
      </c>
      <c r="J56" s="6">
        <f>AVERAGE($F$2:F56)</f>
        <v>98.278363636363622</v>
      </c>
      <c r="K56">
        <f>IF(COUNTA($F$2:F56)&lt;20,"",_xlfn.STDEV.P($F$2:F56))</f>
        <v>0.79727664557967415</v>
      </c>
      <c r="L56">
        <f t="shared" si="2"/>
        <v>0.84</v>
      </c>
      <c r="M56">
        <f t="shared" si="3"/>
        <v>0.72</v>
      </c>
      <c r="N56" t="str">
        <f t="shared" si="4"/>
        <v>❌ NO CAPAZ — Requiere mejora</v>
      </c>
      <c r="O56">
        <f t="shared" si="5"/>
        <v>-0.72</v>
      </c>
    </row>
    <row r="57" spans="1:15" x14ac:dyDescent="0.3">
      <c r="A57" t="str">
        <f t="shared" si="0"/>
        <v>MED-056</v>
      </c>
      <c r="B57" t="str">
        <f>INDEX(Lotes!$A$2:$A$53,INT((ROW()-2)/5)+1)</f>
        <v>RETEX-2024-012</v>
      </c>
      <c r="C57" s="2">
        <f>INDEX(Lotes!$B$2:$B$53,INT((ROW()-2)/5)+1)</f>
        <v>46172</v>
      </c>
      <c r="D57">
        <f>INDEX(Lotes!$C$2:$C$53,INT((ROW()-2)/5)+1)</f>
        <v>22</v>
      </c>
      <c r="E57" t="str">
        <f>INDEX(Lotes!$E$2:$E$53,INT((ROW()-2)/5)+1)</f>
        <v>Mezcla</v>
      </c>
      <c r="F57">
        <v>97.55</v>
      </c>
      <c r="G57">
        <f>96</f>
        <v>96</v>
      </c>
      <c r="H57">
        <f>100</f>
        <v>100</v>
      </c>
      <c r="I57" t="str">
        <f t="shared" si="1"/>
        <v>✅ OK</v>
      </c>
      <c r="J57" s="6">
        <f>AVERAGE($F$2:F57)</f>
        <v>98.265357142857141</v>
      </c>
      <c r="K57">
        <f>IF(COUNTA($F$2:F57)&lt;20,"",_xlfn.STDEV.P($F$2:F57))</f>
        <v>0.7959921129493378</v>
      </c>
      <c r="L57">
        <f t="shared" si="2"/>
        <v>0.84</v>
      </c>
      <c r="M57">
        <f t="shared" si="3"/>
        <v>0.73</v>
      </c>
      <c r="N57" t="str">
        <f t="shared" si="4"/>
        <v>❌ NO CAPAZ — Requiere mejora</v>
      </c>
      <c r="O57">
        <f t="shared" si="5"/>
        <v>0.44</v>
      </c>
    </row>
    <row r="58" spans="1:15" x14ac:dyDescent="0.3">
      <c r="A58" t="str">
        <f t="shared" si="0"/>
        <v>MED-057</v>
      </c>
      <c r="B58" t="str">
        <f>INDEX(Lotes!$A$2:$A$53,INT((ROW()-2)/5)+1)</f>
        <v>RETEX-2024-012</v>
      </c>
      <c r="C58" s="2">
        <f>INDEX(Lotes!$B$2:$B$53,INT((ROW()-2)/5)+1)</f>
        <v>46172</v>
      </c>
      <c r="D58">
        <f>INDEX(Lotes!$C$2:$C$53,INT((ROW()-2)/5)+1)</f>
        <v>22</v>
      </c>
      <c r="E58" t="str">
        <f>INDEX(Lotes!$E$2:$E$53,INT((ROW()-2)/5)+1)</f>
        <v>Mezcla</v>
      </c>
      <c r="F58">
        <v>98.71</v>
      </c>
      <c r="G58">
        <f>96</f>
        <v>96</v>
      </c>
      <c r="H58">
        <f>100</f>
        <v>100</v>
      </c>
      <c r="I58" t="str">
        <f t="shared" si="1"/>
        <v>✅ OK</v>
      </c>
      <c r="J58" s="6">
        <f>AVERAGE($F$2:F58)</f>
        <v>98.27315789473684</v>
      </c>
      <c r="K58">
        <f>IF(COUNTA($F$2:F58)&lt;20,"",_xlfn.STDEV.P($F$2:F58))</f>
        <v>0.7911354440667705</v>
      </c>
      <c r="L58">
        <f t="shared" si="2"/>
        <v>0.84</v>
      </c>
      <c r="M58">
        <f t="shared" si="3"/>
        <v>0.73</v>
      </c>
      <c r="N58" t="str">
        <f t="shared" si="4"/>
        <v>❌ NO CAPAZ — Requiere mejora</v>
      </c>
      <c r="O58">
        <f t="shared" si="5"/>
        <v>-0.5</v>
      </c>
    </row>
    <row r="59" spans="1:15" x14ac:dyDescent="0.3">
      <c r="A59" t="str">
        <f t="shared" si="0"/>
        <v>MED-058</v>
      </c>
      <c r="B59" t="str">
        <f>INDEX(Lotes!$A$2:$A$53,INT((ROW()-2)/5)+1)</f>
        <v>RETEX-2024-012</v>
      </c>
      <c r="C59" s="2">
        <f>INDEX(Lotes!$B$2:$B$53,INT((ROW()-2)/5)+1)</f>
        <v>46172</v>
      </c>
      <c r="D59">
        <f>INDEX(Lotes!$C$2:$C$53,INT((ROW()-2)/5)+1)</f>
        <v>22</v>
      </c>
      <c r="E59" t="str">
        <f>INDEX(Lotes!$E$2:$E$53,INT((ROW()-2)/5)+1)</f>
        <v>Mezcla</v>
      </c>
      <c r="F59">
        <v>97.76</v>
      </c>
      <c r="G59">
        <f>96</f>
        <v>96</v>
      </c>
      <c r="H59">
        <f>100</f>
        <v>100</v>
      </c>
      <c r="I59" t="str">
        <f t="shared" si="1"/>
        <v>✅ OK</v>
      </c>
      <c r="J59" s="6">
        <f>AVERAGE($F$2:F59)</f>
        <v>98.264310344827578</v>
      </c>
      <c r="K59">
        <f>IF(COUNTA($F$2:F59)&lt;20,"",_xlfn.STDEV.P($F$2:F59))</f>
        <v>0.78712508769959044</v>
      </c>
      <c r="L59">
        <f t="shared" si="2"/>
        <v>0.85</v>
      </c>
      <c r="M59">
        <f t="shared" si="3"/>
        <v>0.74</v>
      </c>
      <c r="N59" t="str">
        <f t="shared" si="4"/>
        <v>❌ NO CAPAZ — Requiere mejora</v>
      </c>
      <c r="O59">
        <f t="shared" si="5"/>
        <v>-7.0000000000000007E-2</v>
      </c>
    </row>
    <row r="60" spans="1:15" x14ac:dyDescent="0.3">
      <c r="A60" t="str">
        <f t="shared" si="0"/>
        <v>MED-059</v>
      </c>
      <c r="B60" t="str">
        <f>INDEX(Lotes!$A$2:$A$53,INT((ROW()-2)/5)+1)</f>
        <v>RETEX-2024-012</v>
      </c>
      <c r="C60" s="2">
        <f>INDEX(Lotes!$B$2:$B$53,INT((ROW()-2)/5)+1)</f>
        <v>46172</v>
      </c>
      <c r="D60">
        <f>INDEX(Lotes!$C$2:$C$53,INT((ROW()-2)/5)+1)</f>
        <v>22</v>
      </c>
      <c r="E60" t="str">
        <f>INDEX(Lotes!$E$2:$E$53,INT((ROW()-2)/5)+1)</f>
        <v>Mezcla</v>
      </c>
      <c r="F60">
        <v>98.19</v>
      </c>
      <c r="G60">
        <f>96</f>
        <v>96</v>
      </c>
      <c r="H60">
        <f>100</f>
        <v>100</v>
      </c>
      <c r="I60" t="str">
        <f t="shared" si="1"/>
        <v>✅ OK</v>
      </c>
      <c r="J60" s="6">
        <f>AVERAGE($F$2:F60)</f>
        <v>98.26305084745762</v>
      </c>
      <c r="K60">
        <f>IF(COUNTA($F$2:F60)&lt;20,"",_xlfn.STDEV.P($F$2:F60))</f>
        <v>0.78048497360596603</v>
      </c>
      <c r="L60">
        <f t="shared" si="2"/>
        <v>0.85</v>
      </c>
      <c r="M60">
        <f t="shared" si="3"/>
        <v>0.74</v>
      </c>
      <c r="N60" t="str">
        <f t="shared" si="4"/>
        <v>❌ NO CAPAZ — Requiere mejora</v>
      </c>
      <c r="O60">
        <f t="shared" si="5"/>
        <v>-1.24</v>
      </c>
    </row>
    <row r="61" spans="1:15" x14ac:dyDescent="0.3">
      <c r="A61" t="str">
        <f t="shared" si="0"/>
        <v>MED-060</v>
      </c>
      <c r="B61" t="str">
        <f>INDEX(Lotes!$A$2:$A$53,INT((ROW()-2)/5)+1)</f>
        <v>RETEX-2024-012</v>
      </c>
      <c r="C61" s="2">
        <f>INDEX(Lotes!$B$2:$B$53,INT((ROW()-2)/5)+1)</f>
        <v>46172</v>
      </c>
      <c r="D61">
        <f>INDEX(Lotes!$C$2:$C$53,INT((ROW()-2)/5)+1)</f>
        <v>22</v>
      </c>
      <c r="E61" t="str">
        <f>INDEX(Lotes!$E$2:$E$53,INT((ROW()-2)/5)+1)</f>
        <v>Mezcla</v>
      </c>
      <c r="F61">
        <v>97</v>
      </c>
      <c r="G61">
        <f>96</f>
        <v>96</v>
      </c>
      <c r="H61">
        <f>100</f>
        <v>100</v>
      </c>
      <c r="I61" t="str">
        <f t="shared" si="1"/>
        <v>✅ OK</v>
      </c>
      <c r="J61" s="6">
        <f>AVERAGE($F$2:F61)</f>
        <v>98.24199999999999</v>
      </c>
      <c r="K61">
        <f>IF(COUNTA($F$2:F61)&lt;20,"",_xlfn.STDEV.P($F$2:F61))</f>
        <v>0.79066385609393652</v>
      </c>
      <c r="L61">
        <f t="shared" si="2"/>
        <v>0.84</v>
      </c>
      <c r="M61">
        <f t="shared" si="3"/>
        <v>0.74</v>
      </c>
      <c r="N61" t="str">
        <f t="shared" si="4"/>
        <v>❌ NO CAPAZ — Requiere mejora</v>
      </c>
      <c r="O61">
        <f t="shared" si="5"/>
        <v>0.03</v>
      </c>
    </row>
    <row r="62" spans="1:15" x14ac:dyDescent="0.3">
      <c r="A62" t="str">
        <f t="shared" si="0"/>
        <v>MED-061</v>
      </c>
      <c r="B62" t="str">
        <f>INDEX(Lotes!$A$2:$A$53,INT((ROW()-2)/5)+1)</f>
        <v>RETEX-2024-013</v>
      </c>
      <c r="C62" s="2">
        <f>INDEX(Lotes!$B$2:$B$53,INT((ROW()-2)/5)+1)</f>
        <v>46179</v>
      </c>
      <c r="D62">
        <f>INDEX(Lotes!$C$2:$C$53,INT((ROW()-2)/5)+1)</f>
        <v>23</v>
      </c>
      <c r="E62" t="str">
        <f>INDEX(Lotes!$E$2:$E$53,INT((ROW()-2)/5)+1)</f>
        <v>Algodón</v>
      </c>
      <c r="F62">
        <v>98.27</v>
      </c>
      <c r="G62">
        <f>96</f>
        <v>96</v>
      </c>
      <c r="H62">
        <f>100</f>
        <v>100</v>
      </c>
      <c r="I62" t="str">
        <f t="shared" si="1"/>
        <v>✅ OK</v>
      </c>
      <c r="J62" s="6">
        <f>AVERAGE($F$2:F62)</f>
        <v>98.24245901639344</v>
      </c>
      <c r="K62">
        <f>IF(COUNTA($F$2:F62)&lt;20,"",_xlfn.STDEV.P($F$2:F62))</f>
        <v>0.78416428468116584</v>
      </c>
      <c r="L62">
        <f t="shared" si="2"/>
        <v>0.85</v>
      </c>
      <c r="M62">
        <f t="shared" si="3"/>
        <v>0.75</v>
      </c>
      <c r="N62" t="str">
        <f t="shared" si="4"/>
        <v>❌ NO CAPAZ — Requiere mejora</v>
      </c>
      <c r="O62">
        <f t="shared" si="5"/>
        <v>-7.0000000000000007E-2</v>
      </c>
    </row>
    <row r="63" spans="1:15" x14ac:dyDescent="0.3">
      <c r="A63" t="str">
        <f t="shared" si="0"/>
        <v>MED-062</v>
      </c>
      <c r="B63" t="str">
        <f>INDEX(Lotes!$A$2:$A$53,INT((ROW()-2)/5)+1)</f>
        <v>RETEX-2024-013</v>
      </c>
      <c r="C63" s="2">
        <f>INDEX(Lotes!$B$2:$B$53,INT((ROW()-2)/5)+1)</f>
        <v>46179</v>
      </c>
      <c r="D63">
        <f>INDEX(Lotes!$C$2:$C$53,INT((ROW()-2)/5)+1)</f>
        <v>23</v>
      </c>
      <c r="E63" t="str">
        <f>INDEX(Lotes!$E$2:$E$53,INT((ROW()-2)/5)+1)</f>
        <v>Algodón</v>
      </c>
      <c r="F63">
        <v>98.17</v>
      </c>
      <c r="G63">
        <f>96</f>
        <v>96</v>
      </c>
      <c r="H63">
        <f>100</f>
        <v>100</v>
      </c>
      <c r="I63" t="str">
        <f t="shared" si="1"/>
        <v>✅ OK</v>
      </c>
      <c r="J63" s="6">
        <f>AVERAGE($F$2:F63)</f>
        <v>98.241290322580639</v>
      </c>
      <c r="K63">
        <f>IF(COUNTA($F$2:F63)&lt;20,"",_xlfn.STDEV.P($F$2:F63))</f>
        <v>0.77786822806239375</v>
      </c>
      <c r="L63">
        <f t="shared" si="2"/>
        <v>0.86</v>
      </c>
      <c r="M63">
        <f t="shared" si="3"/>
        <v>0.75</v>
      </c>
      <c r="N63" t="str">
        <f t="shared" si="4"/>
        <v>❌ NO CAPAZ — Requiere mejora</v>
      </c>
      <c r="O63">
        <f t="shared" si="5"/>
        <v>-0.35</v>
      </c>
    </row>
    <row r="64" spans="1:15" x14ac:dyDescent="0.3">
      <c r="A64" t="str">
        <f t="shared" si="0"/>
        <v>MED-063</v>
      </c>
      <c r="B64" t="str">
        <f>INDEX(Lotes!$A$2:$A$53,INT((ROW()-2)/5)+1)</f>
        <v>RETEX-2024-013</v>
      </c>
      <c r="C64" s="2">
        <f>INDEX(Lotes!$B$2:$B$53,INT((ROW()-2)/5)+1)</f>
        <v>46179</v>
      </c>
      <c r="D64">
        <f>INDEX(Lotes!$C$2:$C$53,INT((ROW()-2)/5)+1)</f>
        <v>23</v>
      </c>
      <c r="E64" t="str">
        <f>INDEX(Lotes!$E$2:$E$53,INT((ROW()-2)/5)+1)</f>
        <v>Algodón</v>
      </c>
      <c r="F64">
        <v>97.89</v>
      </c>
      <c r="G64">
        <f>96</f>
        <v>96</v>
      </c>
      <c r="H64">
        <f>100</f>
        <v>100</v>
      </c>
      <c r="I64" t="str">
        <f t="shared" si="1"/>
        <v>✅ OK</v>
      </c>
      <c r="J64" s="6">
        <f>AVERAGE($F$2:F64)</f>
        <v>98.235714285714295</v>
      </c>
      <c r="K64">
        <f>IF(COUNTA($F$2:F64)&lt;20,"",_xlfn.STDEV.P($F$2:F64))</f>
        <v>0.77291802125044029</v>
      </c>
      <c r="L64">
        <f t="shared" si="2"/>
        <v>0.86</v>
      </c>
      <c r="M64">
        <f t="shared" si="3"/>
        <v>0.76</v>
      </c>
      <c r="N64" t="str">
        <f t="shared" si="4"/>
        <v>❌ NO CAPAZ — Requiere mejora</v>
      </c>
      <c r="O64">
        <f t="shared" si="5"/>
        <v>-0.05</v>
      </c>
    </row>
    <row r="65" spans="1:15" x14ac:dyDescent="0.3">
      <c r="A65" t="str">
        <f t="shared" si="0"/>
        <v>MED-064</v>
      </c>
      <c r="B65" t="str">
        <f>INDEX(Lotes!$A$2:$A$53,INT((ROW()-2)/5)+1)</f>
        <v>RETEX-2024-013</v>
      </c>
      <c r="C65" s="2">
        <f>INDEX(Lotes!$B$2:$B$53,INT((ROW()-2)/5)+1)</f>
        <v>46179</v>
      </c>
      <c r="D65">
        <f>INDEX(Lotes!$C$2:$C$53,INT((ROW()-2)/5)+1)</f>
        <v>23</v>
      </c>
      <c r="E65" t="str">
        <f>INDEX(Lotes!$E$2:$E$53,INT((ROW()-2)/5)+1)</f>
        <v>Algodón</v>
      </c>
      <c r="F65">
        <v>98.19</v>
      </c>
      <c r="G65">
        <f>96</f>
        <v>96</v>
      </c>
      <c r="H65">
        <f>100</f>
        <v>100</v>
      </c>
      <c r="I65" t="str">
        <f t="shared" si="1"/>
        <v>✅ OK</v>
      </c>
      <c r="J65" s="6">
        <f>AVERAGE($F$2:F65)</f>
        <v>98.234999999999999</v>
      </c>
      <c r="K65">
        <f>IF(COUNTA($F$2:F65)&lt;20,"",_xlfn.STDEV.P($F$2:F65))</f>
        <v>0.76687678280151372</v>
      </c>
      <c r="L65">
        <f t="shared" si="2"/>
        <v>0.87</v>
      </c>
      <c r="M65">
        <f t="shared" si="3"/>
        <v>0.77</v>
      </c>
      <c r="N65" t="str">
        <f t="shared" si="4"/>
        <v>❌ NO CAPAZ — Requiere mejora</v>
      </c>
      <c r="O65">
        <f t="shared" si="5"/>
        <v>-0.05</v>
      </c>
    </row>
    <row r="66" spans="1:15" x14ac:dyDescent="0.3">
      <c r="A66" t="str">
        <f t="shared" si="0"/>
        <v>MED-065</v>
      </c>
      <c r="B66" t="str">
        <f>INDEX(Lotes!$A$2:$A$53,INT((ROW()-2)/5)+1)</f>
        <v>RETEX-2024-013</v>
      </c>
      <c r="C66" s="2">
        <f>INDEX(Lotes!$B$2:$B$53,INT((ROW()-2)/5)+1)</f>
        <v>46179</v>
      </c>
      <c r="D66">
        <f>INDEX(Lotes!$C$2:$C$53,INT((ROW()-2)/5)+1)</f>
        <v>23</v>
      </c>
      <c r="E66" t="str">
        <f>INDEX(Lotes!$E$2:$E$53,INT((ROW()-2)/5)+1)</f>
        <v>Algodón</v>
      </c>
      <c r="F66">
        <v>98.18</v>
      </c>
      <c r="G66">
        <f>96</f>
        <v>96</v>
      </c>
      <c r="H66">
        <f>100</f>
        <v>100</v>
      </c>
      <c r="I66" t="str">
        <f t="shared" si="1"/>
        <v>✅ OK</v>
      </c>
      <c r="J66" s="6">
        <f>AVERAGE($F$2:F66)</f>
        <v>98.234153846153845</v>
      </c>
      <c r="K66">
        <f>IF(COUNTA($F$2:F66)&lt;20,"",_xlfn.STDEV.P($F$2:F66))</f>
        <v>0.76098497368707285</v>
      </c>
      <c r="L66">
        <f t="shared" si="2"/>
        <v>0.88</v>
      </c>
      <c r="M66">
        <f t="shared" si="3"/>
        <v>0.77</v>
      </c>
      <c r="N66" t="str">
        <f t="shared" si="4"/>
        <v>❌ NO CAPAZ — Requiere mejora</v>
      </c>
      <c r="O66">
        <f t="shared" si="5"/>
        <v>-0.19</v>
      </c>
    </row>
    <row r="67" spans="1:15" x14ac:dyDescent="0.3">
      <c r="A67" t="str">
        <f t="shared" ref="A67:A130" si="6">"MED-"&amp;TEXT(ROW()-1,"000")</f>
        <v>MED-066</v>
      </c>
      <c r="B67" t="str">
        <f>INDEX(Lotes!$A$2:$A$53,INT((ROW()-2)/5)+1)</f>
        <v>RETEX-2024-014</v>
      </c>
      <c r="C67" s="2">
        <f>INDEX(Lotes!$B$2:$B$53,INT((ROW()-2)/5)+1)</f>
        <v>46186</v>
      </c>
      <c r="D67">
        <f>INDEX(Lotes!$C$2:$C$53,INT((ROW()-2)/5)+1)</f>
        <v>24</v>
      </c>
      <c r="E67" t="str">
        <f>INDEX(Lotes!$E$2:$E$53,INT((ROW()-2)/5)+1)</f>
        <v>Poliéster</v>
      </c>
      <c r="F67">
        <v>98.04</v>
      </c>
      <c r="G67">
        <f>96</f>
        <v>96</v>
      </c>
      <c r="H67">
        <f>100</f>
        <v>100</v>
      </c>
      <c r="I67" t="str">
        <f t="shared" ref="I67:I130" si="7">IF(F67&lt;G67,"❌ NOK - Bajo límite",IF(F67&gt;H67,"❌ NOK - Sobre límite","✅ OK"))</f>
        <v>✅ OK</v>
      </c>
      <c r="J67" s="6">
        <f>AVERAGE($F$2:F67)</f>
        <v>98.231212121212124</v>
      </c>
      <c r="K67">
        <f>IF(COUNTA($F$2:F67)&lt;20,"",_xlfn.STDEV.P($F$2:F67))</f>
        <v>0.75557025454291549</v>
      </c>
      <c r="L67">
        <f t="shared" ref="L67:L130" si="8">IF(K67="","",ROUND((H67-G67)/(6*K67),2))</f>
        <v>0.88</v>
      </c>
      <c r="M67">
        <f t="shared" ref="M67:M130" si="9">IF(K67="","",ROUND(MIN((H67-J67)/(3*K67),(J67-G67)/(3*K67)),2))</f>
        <v>0.78</v>
      </c>
      <c r="N67" t="str">
        <f t="shared" ref="N67:N130" si="10">IF(M67="","⏳ Acumulando datos",
    IF(M67&gt;=1.33,"✅ CAPAZ",
    IF(M67&gt;=1,"⚠️ MARGINAL",
    IF(M67&gt;=0.67,"❌ NO CAPAZ — Requiere mejora",
    "🚨 CRÍTICO — Acción inmediata"))))</f>
        <v>❌ NO CAPAZ — Requiere mejora</v>
      </c>
      <c r="O67">
        <f t="shared" ref="O67:O130" si="11">IF(J68="","",ROUND(F68-J68,2))</f>
        <v>0.76</v>
      </c>
    </row>
    <row r="68" spans="1:15" x14ac:dyDescent="0.3">
      <c r="A68" t="str">
        <f t="shared" si="6"/>
        <v>MED-067</v>
      </c>
      <c r="B68" t="str">
        <f>INDEX(Lotes!$A$2:$A$53,INT((ROW()-2)/5)+1)</f>
        <v>RETEX-2024-014</v>
      </c>
      <c r="C68" s="2">
        <f>INDEX(Lotes!$B$2:$B$53,INT((ROW()-2)/5)+1)</f>
        <v>46186</v>
      </c>
      <c r="D68">
        <f>INDEX(Lotes!$C$2:$C$53,INT((ROW()-2)/5)+1)</f>
        <v>24</v>
      </c>
      <c r="E68" t="str">
        <f>INDEX(Lotes!$E$2:$E$53,INT((ROW()-2)/5)+1)</f>
        <v>Poliéster</v>
      </c>
      <c r="F68">
        <v>99</v>
      </c>
      <c r="G68">
        <f>96</f>
        <v>96</v>
      </c>
      <c r="H68">
        <f>100</f>
        <v>100</v>
      </c>
      <c r="I68" t="str">
        <f t="shared" si="7"/>
        <v>✅ OK</v>
      </c>
      <c r="J68" s="6">
        <f>AVERAGE($F$2:F68)</f>
        <v>98.242686567164185</v>
      </c>
      <c r="K68">
        <f>IF(COUNTA($F$2:F68)&lt;20,"",_xlfn.STDEV.P($F$2:F68))</f>
        <v>0.75568212161201531</v>
      </c>
      <c r="L68">
        <f t="shared" si="8"/>
        <v>0.88</v>
      </c>
      <c r="M68">
        <f t="shared" si="9"/>
        <v>0.78</v>
      </c>
      <c r="N68" t="str">
        <f t="shared" si="10"/>
        <v>❌ NO CAPAZ — Requiere mejora</v>
      </c>
      <c r="O68">
        <f t="shared" si="11"/>
        <v>0.44</v>
      </c>
    </row>
    <row r="69" spans="1:15" x14ac:dyDescent="0.3">
      <c r="A69" t="str">
        <f t="shared" si="6"/>
        <v>MED-068</v>
      </c>
      <c r="B69" t="str">
        <f>INDEX(Lotes!$A$2:$A$53,INT((ROW()-2)/5)+1)</f>
        <v>RETEX-2024-014</v>
      </c>
      <c r="C69" s="2">
        <f>INDEX(Lotes!$B$2:$B$53,INT((ROW()-2)/5)+1)</f>
        <v>46186</v>
      </c>
      <c r="D69">
        <f>INDEX(Lotes!$C$2:$C$53,INT((ROW()-2)/5)+1)</f>
        <v>24</v>
      </c>
      <c r="E69" t="str">
        <f>INDEX(Lotes!$E$2:$E$53,INT((ROW()-2)/5)+1)</f>
        <v>Poliéster</v>
      </c>
      <c r="F69">
        <v>98.69</v>
      </c>
      <c r="G69">
        <f>96</f>
        <v>96</v>
      </c>
      <c r="H69">
        <f>100</f>
        <v>100</v>
      </c>
      <c r="I69" t="str">
        <f t="shared" si="7"/>
        <v>✅ OK</v>
      </c>
      <c r="J69" s="6">
        <f>AVERAGE($F$2:F69)</f>
        <v>98.249264705882354</v>
      </c>
      <c r="K69">
        <f>IF(COUNTA($F$2:F69)&lt;20,"",_xlfn.STDEV.P($F$2:F69))</f>
        <v>0.75203511373056053</v>
      </c>
      <c r="L69">
        <f t="shared" si="8"/>
        <v>0.89</v>
      </c>
      <c r="M69">
        <f t="shared" si="9"/>
        <v>0.78</v>
      </c>
      <c r="N69" t="str">
        <f t="shared" si="10"/>
        <v>❌ NO CAPAZ — Requiere mejora</v>
      </c>
      <c r="O69">
        <f t="shared" si="11"/>
        <v>0.63</v>
      </c>
    </row>
    <row r="70" spans="1:15" x14ac:dyDescent="0.3">
      <c r="A70" t="str">
        <f t="shared" si="6"/>
        <v>MED-069</v>
      </c>
      <c r="B70" t="str">
        <f>INDEX(Lotes!$A$2:$A$53,INT((ROW()-2)/5)+1)</f>
        <v>RETEX-2024-014</v>
      </c>
      <c r="C70" s="2">
        <f>INDEX(Lotes!$B$2:$B$53,INT((ROW()-2)/5)+1)</f>
        <v>46186</v>
      </c>
      <c r="D70">
        <f>INDEX(Lotes!$C$2:$C$53,INT((ROW()-2)/5)+1)</f>
        <v>24</v>
      </c>
      <c r="E70" t="str">
        <f>INDEX(Lotes!$E$2:$E$53,INT((ROW()-2)/5)+1)</f>
        <v>Poliéster</v>
      </c>
      <c r="F70">
        <v>98.89</v>
      </c>
      <c r="G70">
        <f>96</f>
        <v>96</v>
      </c>
      <c r="H70">
        <f>100</f>
        <v>100</v>
      </c>
      <c r="I70" t="str">
        <f t="shared" si="7"/>
        <v>✅ OK</v>
      </c>
      <c r="J70" s="6">
        <f>AVERAGE($F$2:F70)</f>
        <v>98.258550724637686</v>
      </c>
      <c r="K70">
        <f>IF(COUNTA($F$2:F70)&lt;20,"",_xlfn.STDEV.P($F$2:F70))</f>
        <v>0.75048250249918924</v>
      </c>
      <c r="L70">
        <f t="shared" si="8"/>
        <v>0.89</v>
      </c>
      <c r="M70">
        <f t="shared" si="9"/>
        <v>0.77</v>
      </c>
      <c r="N70" t="str">
        <f t="shared" si="10"/>
        <v>❌ NO CAPAZ — Requiere mejora</v>
      </c>
      <c r="O70">
        <f t="shared" si="11"/>
        <v>0.78</v>
      </c>
    </row>
    <row r="71" spans="1:15" x14ac:dyDescent="0.3">
      <c r="A71" t="str">
        <f t="shared" si="6"/>
        <v>MED-070</v>
      </c>
      <c r="B71" t="str">
        <f>INDEX(Lotes!$A$2:$A$53,INT((ROW()-2)/5)+1)</f>
        <v>RETEX-2024-014</v>
      </c>
      <c r="C71" s="2">
        <f>INDEX(Lotes!$B$2:$B$53,INT((ROW()-2)/5)+1)</f>
        <v>46186</v>
      </c>
      <c r="D71">
        <f>INDEX(Lotes!$C$2:$C$53,INT((ROW()-2)/5)+1)</f>
        <v>24</v>
      </c>
      <c r="E71" t="str">
        <f>INDEX(Lotes!$E$2:$E$53,INT((ROW()-2)/5)+1)</f>
        <v>Poliéster</v>
      </c>
      <c r="F71">
        <v>99.05</v>
      </c>
      <c r="G71">
        <f>96</f>
        <v>96</v>
      </c>
      <c r="H71">
        <f>100</f>
        <v>100</v>
      </c>
      <c r="I71" t="str">
        <f t="shared" si="7"/>
        <v>✅ OK</v>
      </c>
      <c r="J71" s="6">
        <f>AVERAGE($F$2:F71)</f>
        <v>98.269857142857148</v>
      </c>
      <c r="K71">
        <f>IF(COUNTA($F$2:F71)&lt;20,"",_xlfn.STDEV.P($F$2:F71))</f>
        <v>0.75099836951914101</v>
      </c>
      <c r="L71">
        <f t="shared" si="8"/>
        <v>0.89</v>
      </c>
      <c r="M71">
        <f t="shared" si="9"/>
        <v>0.77</v>
      </c>
      <c r="N71" t="str">
        <f t="shared" si="10"/>
        <v>❌ NO CAPAZ — Requiere mejora</v>
      </c>
      <c r="O71">
        <f t="shared" si="11"/>
        <v>0.25</v>
      </c>
    </row>
    <row r="72" spans="1:15" x14ac:dyDescent="0.3">
      <c r="A72" t="str">
        <f t="shared" si="6"/>
        <v>MED-071</v>
      </c>
      <c r="B72" t="str">
        <f>INDEX(Lotes!$A$2:$A$53,INT((ROW()-2)/5)+1)</f>
        <v>RETEX-2024-015</v>
      </c>
      <c r="C72" s="2">
        <f>INDEX(Lotes!$B$2:$B$53,INT((ROW()-2)/5)+1)</f>
        <v>46193</v>
      </c>
      <c r="D72">
        <f>INDEX(Lotes!$C$2:$C$53,INT((ROW()-2)/5)+1)</f>
        <v>25</v>
      </c>
      <c r="E72" t="str">
        <f>INDEX(Lotes!$E$2:$E$53,INT((ROW()-2)/5)+1)</f>
        <v>Mezcla</v>
      </c>
      <c r="F72">
        <v>98.52</v>
      </c>
      <c r="G72">
        <f>96</f>
        <v>96</v>
      </c>
      <c r="H72">
        <f>100</f>
        <v>100</v>
      </c>
      <c r="I72" t="str">
        <f t="shared" si="7"/>
        <v>✅ OK</v>
      </c>
      <c r="J72" s="6">
        <f>AVERAGE($F$2:F72)</f>
        <v>98.273380281690152</v>
      </c>
      <c r="K72">
        <f>IF(COUNTA($F$2:F72)&lt;20,"",_xlfn.STDEV.P($F$2:F72))</f>
        <v>0.74627326426939655</v>
      </c>
      <c r="L72">
        <f t="shared" si="8"/>
        <v>0.89</v>
      </c>
      <c r="M72">
        <f t="shared" si="9"/>
        <v>0.77</v>
      </c>
      <c r="N72" t="str">
        <f t="shared" si="10"/>
        <v>❌ NO CAPAZ — Requiere mejora</v>
      </c>
      <c r="O72">
        <f t="shared" si="11"/>
        <v>-0.36</v>
      </c>
    </row>
    <row r="73" spans="1:15" x14ac:dyDescent="0.3">
      <c r="A73" t="str">
        <f t="shared" si="6"/>
        <v>MED-072</v>
      </c>
      <c r="B73" t="str">
        <f>INDEX(Lotes!$A$2:$A$53,INT((ROW()-2)/5)+1)</f>
        <v>RETEX-2024-015</v>
      </c>
      <c r="C73" s="2">
        <f>INDEX(Lotes!$B$2:$B$53,INT((ROW()-2)/5)+1)</f>
        <v>46193</v>
      </c>
      <c r="D73">
        <f>INDEX(Lotes!$C$2:$C$53,INT((ROW()-2)/5)+1)</f>
        <v>25</v>
      </c>
      <c r="E73" t="str">
        <f>INDEX(Lotes!$E$2:$E$53,INT((ROW()-2)/5)+1)</f>
        <v>Mezcla</v>
      </c>
      <c r="F73">
        <v>97.91</v>
      </c>
      <c r="G73">
        <f>96</f>
        <v>96</v>
      </c>
      <c r="H73">
        <f>100</f>
        <v>100</v>
      </c>
      <c r="I73" t="str">
        <f t="shared" si="7"/>
        <v>✅ OK</v>
      </c>
      <c r="J73" s="6">
        <f>AVERAGE($F$2:F73)</f>
        <v>98.268333333333345</v>
      </c>
      <c r="K73">
        <f>IF(COUNTA($F$2:F73)&lt;20,"",_xlfn.STDEV.P($F$2:F73))</f>
        <v>0.74229187131627816</v>
      </c>
      <c r="L73">
        <f t="shared" si="8"/>
        <v>0.9</v>
      </c>
      <c r="M73">
        <f t="shared" si="9"/>
        <v>0.78</v>
      </c>
      <c r="N73" t="str">
        <f t="shared" si="10"/>
        <v>❌ NO CAPAZ — Requiere mejora</v>
      </c>
      <c r="O73">
        <f t="shared" si="11"/>
        <v>-1.23</v>
      </c>
    </row>
    <row r="74" spans="1:15" x14ac:dyDescent="0.3">
      <c r="A74" t="str">
        <f t="shared" si="6"/>
        <v>MED-073</v>
      </c>
      <c r="B74" t="str">
        <f>INDEX(Lotes!$A$2:$A$53,INT((ROW()-2)/5)+1)</f>
        <v>RETEX-2024-015</v>
      </c>
      <c r="C74" s="2">
        <f>INDEX(Lotes!$B$2:$B$53,INT((ROW()-2)/5)+1)</f>
        <v>46193</v>
      </c>
      <c r="D74">
        <f>INDEX(Lotes!$C$2:$C$53,INT((ROW()-2)/5)+1)</f>
        <v>25</v>
      </c>
      <c r="E74" t="str">
        <f>INDEX(Lotes!$E$2:$E$53,INT((ROW()-2)/5)+1)</f>
        <v>Mezcla</v>
      </c>
      <c r="F74">
        <v>97.02</v>
      </c>
      <c r="G74">
        <f>96</f>
        <v>96</v>
      </c>
      <c r="H74">
        <f>100</f>
        <v>100</v>
      </c>
      <c r="I74" t="str">
        <f t="shared" si="7"/>
        <v>✅ OK</v>
      </c>
      <c r="J74" s="6">
        <f>AVERAGE($F$2:F74)</f>
        <v>98.251232876712336</v>
      </c>
      <c r="K74">
        <f>IF(COUNTA($F$2:F74)&lt;20,"",_xlfn.STDEV.P($F$2:F74))</f>
        <v>0.7513347852103397</v>
      </c>
      <c r="L74">
        <f t="shared" si="8"/>
        <v>0.89</v>
      </c>
      <c r="M74">
        <f t="shared" si="9"/>
        <v>0.78</v>
      </c>
      <c r="N74" t="str">
        <f t="shared" si="10"/>
        <v>❌ NO CAPAZ — Requiere mejora</v>
      </c>
      <c r="O74">
        <f t="shared" si="11"/>
        <v>-1.08</v>
      </c>
    </row>
    <row r="75" spans="1:15" x14ac:dyDescent="0.3">
      <c r="A75" t="str">
        <f t="shared" si="6"/>
        <v>MED-074</v>
      </c>
      <c r="B75" t="str">
        <f>INDEX(Lotes!$A$2:$A$53,INT((ROW()-2)/5)+1)</f>
        <v>RETEX-2024-015</v>
      </c>
      <c r="C75" s="2">
        <f>INDEX(Lotes!$B$2:$B$53,INT((ROW()-2)/5)+1)</f>
        <v>46193</v>
      </c>
      <c r="D75">
        <f>INDEX(Lotes!$C$2:$C$53,INT((ROW()-2)/5)+1)</f>
        <v>25</v>
      </c>
      <c r="E75" t="str">
        <f>INDEX(Lotes!$E$2:$E$53,INT((ROW()-2)/5)+1)</f>
        <v>Mezcla</v>
      </c>
      <c r="F75">
        <v>97.16</v>
      </c>
      <c r="G75">
        <f>96</f>
        <v>96</v>
      </c>
      <c r="H75">
        <f>100</f>
        <v>100</v>
      </c>
      <c r="I75" t="str">
        <f t="shared" si="7"/>
        <v>✅ OK</v>
      </c>
      <c r="J75" s="6">
        <f>AVERAGE($F$2:F75)</f>
        <v>98.236486486486498</v>
      </c>
      <c r="K75">
        <f>IF(COUNTA($F$2:F75)&lt;20,"",_xlfn.STDEV.P($F$2:F75))</f>
        <v>0.75680236349059637</v>
      </c>
      <c r="L75">
        <f t="shared" si="8"/>
        <v>0.88</v>
      </c>
      <c r="M75">
        <f t="shared" si="9"/>
        <v>0.78</v>
      </c>
      <c r="N75" t="str">
        <f t="shared" si="10"/>
        <v>❌ NO CAPAZ — Requiere mejora</v>
      </c>
      <c r="O75">
        <f t="shared" si="11"/>
        <v>-1.59</v>
      </c>
    </row>
    <row r="76" spans="1:15" x14ac:dyDescent="0.3">
      <c r="A76" t="str">
        <f t="shared" si="6"/>
        <v>MED-075</v>
      </c>
      <c r="B76" t="str">
        <f>INDEX(Lotes!$A$2:$A$53,INT((ROW()-2)/5)+1)</f>
        <v>RETEX-2024-015</v>
      </c>
      <c r="C76" s="2">
        <f>INDEX(Lotes!$B$2:$B$53,INT((ROW()-2)/5)+1)</f>
        <v>46193</v>
      </c>
      <c r="D76">
        <f>INDEX(Lotes!$C$2:$C$53,INT((ROW()-2)/5)+1)</f>
        <v>25</v>
      </c>
      <c r="E76" t="str">
        <f>INDEX(Lotes!$E$2:$E$53,INT((ROW()-2)/5)+1)</f>
        <v>Mezcla</v>
      </c>
      <c r="F76">
        <v>96.63</v>
      </c>
      <c r="G76">
        <f>96</f>
        <v>96</v>
      </c>
      <c r="H76">
        <f>100</f>
        <v>100</v>
      </c>
      <c r="I76" t="str">
        <f t="shared" si="7"/>
        <v>✅ OK</v>
      </c>
      <c r="J76" s="6">
        <f>AVERAGE($F$2:F76)</f>
        <v>98.215066666666687</v>
      </c>
      <c r="K76">
        <f>IF(COUNTA($F$2:F76)&lt;20,"",_xlfn.STDEV.P($F$2:F76))</f>
        <v>0.77399289115311387</v>
      </c>
      <c r="L76">
        <f t="shared" si="8"/>
        <v>0.86</v>
      </c>
      <c r="M76">
        <f t="shared" si="9"/>
        <v>0.77</v>
      </c>
      <c r="N76" t="str">
        <f t="shared" si="10"/>
        <v>❌ NO CAPAZ — Requiere mejora</v>
      </c>
      <c r="O76">
        <f t="shared" si="11"/>
        <v>-0.32</v>
      </c>
    </row>
    <row r="77" spans="1:15" x14ac:dyDescent="0.3">
      <c r="A77" t="str">
        <f t="shared" si="6"/>
        <v>MED-076</v>
      </c>
      <c r="B77" t="str">
        <f>INDEX(Lotes!$A$2:$A$53,INT((ROW()-2)/5)+1)</f>
        <v>RETEX-2024-016</v>
      </c>
      <c r="C77" s="2">
        <f>INDEX(Lotes!$B$2:$B$53,INT((ROW()-2)/5)+1)</f>
        <v>46200</v>
      </c>
      <c r="D77">
        <f>INDEX(Lotes!$C$2:$C$53,INT((ROW()-2)/5)+1)</f>
        <v>26</v>
      </c>
      <c r="E77" t="str">
        <f>INDEX(Lotes!$E$2:$E$53,INT((ROW()-2)/5)+1)</f>
        <v>Algodón</v>
      </c>
      <c r="F77">
        <v>97.89</v>
      </c>
      <c r="G77">
        <f>96</f>
        <v>96</v>
      </c>
      <c r="H77">
        <f>100</f>
        <v>100</v>
      </c>
      <c r="I77" t="str">
        <f t="shared" si="7"/>
        <v>✅ OK</v>
      </c>
      <c r="J77" s="6">
        <f>AVERAGE($F$2:F77)</f>
        <v>98.21078947368423</v>
      </c>
      <c r="K77">
        <f>IF(COUNTA($F$2:F77)&lt;20,"",_xlfn.STDEV.P($F$2:F77))</f>
        <v>0.7697757075208318</v>
      </c>
      <c r="L77">
        <f t="shared" si="8"/>
        <v>0.87</v>
      </c>
      <c r="M77">
        <f t="shared" si="9"/>
        <v>0.77</v>
      </c>
      <c r="N77" t="str">
        <f t="shared" si="10"/>
        <v>❌ NO CAPAZ — Requiere mejora</v>
      </c>
      <c r="O77">
        <f t="shared" si="11"/>
        <v>0.65</v>
      </c>
    </row>
    <row r="78" spans="1:15" x14ac:dyDescent="0.3">
      <c r="A78" t="str">
        <f t="shared" si="6"/>
        <v>MED-077</v>
      </c>
      <c r="B78" t="str">
        <f>INDEX(Lotes!$A$2:$A$53,INT((ROW()-2)/5)+1)</f>
        <v>RETEX-2024-016</v>
      </c>
      <c r="C78" s="2">
        <f>INDEX(Lotes!$B$2:$B$53,INT((ROW()-2)/5)+1)</f>
        <v>46200</v>
      </c>
      <c r="D78">
        <f>INDEX(Lotes!$C$2:$C$53,INT((ROW()-2)/5)+1)</f>
        <v>26</v>
      </c>
      <c r="E78" t="str">
        <f>INDEX(Lotes!$E$2:$E$53,INT((ROW()-2)/5)+1)</f>
        <v>Algodón</v>
      </c>
      <c r="F78">
        <v>98.87</v>
      </c>
      <c r="G78">
        <f>96</f>
        <v>96</v>
      </c>
      <c r="H78">
        <f>100</f>
        <v>100</v>
      </c>
      <c r="I78" t="str">
        <f t="shared" si="7"/>
        <v>✅ OK</v>
      </c>
      <c r="J78" s="6">
        <f>AVERAGE($F$2:F78)</f>
        <v>98.219350649350659</v>
      </c>
      <c r="K78">
        <f>IF(COUNTA($F$2:F78)&lt;20,"",_xlfn.STDEV.P($F$2:F78))</f>
        <v>0.7683940710817625</v>
      </c>
      <c r="L78">
        <f t="shared" si="8"/>
        <v>0.87</v>
      </c>
      <c r="M78">
        <f t="shared" si="9"/>
        <v>0.77</v>
      </c>
      <c r="N78" t="str">
        <f t="shared" si="10"/>
        <v>❌ NO CAPAZ — Requiere mejora</v>
      </c>
      <c r="O78">
        <f t="shared" si="11"/>
        <v>0.12</v>
      </c>
    </row>
    <row r="79" spans="1:15" x14ac:dyDescent="0.3">
      <c r="A79" t="str">
        <f t="shared" si="6"/>
        <v>MED-078</v>
      </c>
      <c r="B79" t="str">
        <f>INDEX(Lotes!$A$2:$A$53,INT((ROW()-2)/5)+1)</f>
        <v>RETEX-2024-016</v>
      </c>
      <c r="C79" s="2">
        <f>INDEX(Lotes!$B$2:$B$53,INT((ROW()-2)/5)+1)</f>
        <v>46200</v>
      </c>
      <c r="D79">
        <f>INDEX(Lotes!$C$2:$C$53,INT((ROW()-2)/5)+1)</f>
        <v>26</v>
      </c>
      <c r="E79" t="str">
        <f>INDEX(Lotes!$E$2:$E$53,INT((ROW()-2)/5)+1)</f>
        <v>Algodón</v>
      </c>
      <c r="F79">
        <v>98.34</v>
      </c>
      <c r="G79">
        <f>96</f>
        <v>96</v>
      </c>
      <c r="H79">
        <f>100</f>
        <v>100</v>
      </c>
      <c r="I79" t="str">
        <f t="shared" si="7"/>
        <v>✅ OK</v>
      </c>
      <c r="J79" s="6">
        <f>AVERAGE($F$2:F79)</f>
        <v>98.220897435897456</v>
      </c>
      <c r="K79">
        <f>IF(COUNTA($F$2:F79)&lt;20,"",_xlfn.STDEV.P($F$2:F79))</f>
        <v>0.76357322268639183</v>
      </c>
      <c r="L79">
        <f t="shared" si="8"/>
        <v>0.87</v>
      </c>
      <c r="M79">
        <f t="shared" si="9"/>
        <v>0.78</v>
      </c>
      <c r="N79" t="str">
        <f t="shared" si="10"/>
        <v>❌ NO CAPAZ — Requiere mejora</v>
      </c>
      <c r="O79">
        <f t="shared" si="11"/>
        <v>-0.31</v>
      </c>
    </row>
    <row r="80" spans="1:15" x14ac:dyDescent="0.3">
      <c r="A80" t="str">
        <f t="shared" si="6"/>
        <v>MED-079</v>
      </c>
      <c r="B80" t="str">
        <f>INDEX(Lotes!$A$2:$A$53,INT((ROW()-2)/5)+1)</f>
        <v>RETEX-2024-016</v>
      </c>
      <c r="C80" s="2">
        <f>INDEX(Lotes!$B$2:$B$53,INT((ROW()-2)/5)+1)</f>
        <v>46200</v>
      </c>
      <c r="D80">
        <f>INDEX(Lotes!$C$2:$C$53,INT((ROW()-2)/5)+1)</f>
        <v>26</v>
      </c>
      <c r="E80" t="str">
        <f>INDEX(Lotes!$E$2:$E$53,INT((ROW()-2)/5)+1)</f>
        <v>Algodón</v>
      </c>
      <c r="F80">
        <v>97.91</v>
      </c>
      <c r="G80">
        <f>96</f>
        <v>96</v>
      </c>
      <c r="H80">
        <f>100</f>
        <v>100</v>
      </c>
      <c r="I80" t="str">
        <f t="shared" si="7"/>
        <v>✅ OK</v>
      </c>
      <c r="J80" s="6">
        <f>AVERAGE($F$2:F80)</f>
        <v>98.216962025316477</v>
      </c>
      <c r="K80">
        <f>IF(COUNTA($F$2:F80)&lt;20,"",_xlfn.STDEV.P($F$2:F80))</f>
        <v>0.75952075901060845</v>
      </c>
      <c r="L80">
        <f t="shared" si="8"/>
        <v>0.88</v>
      </c>
      <c r="M80">
        <f t="shared" si="9"/>
        <v>0.78</v>
      </c>
      <c r="N80" t="str">
        <f t="shared" si="10"/>
        <v>❌ NO CAPAZ — Requiere mejora</v>
      </c>
      <c r="O80">
        <f t="shared" si="11"/>
        <v>-0.16</v>
      </c>
    </row>
    <row r="81" spans="1:15" x14ac:dyDescent="0.3">
      <c r="A81" t="str">
        <f t="shared" si="6"/>
        <v>MED-080</v>
      </c>
      <c r="B81" t="str">
        <f>INDEX(Lotes!$A$2:$A$53,INT((ROW()-2)/5)+1)</f>
        <v>RETEX-2024-016</v>
      </c>
      <c r="C81" s="2">
        <f>INDEX(Lotes!$B$2:$B$53,INT((ROW()-2)/5)+1)</f>
        <v>46200</v>
      </c>
      <c r="D81">
        <f>INDEX(Lotes!$C$2:$C$53,INT((ROW()-2)/5)+1)</f>
        <v>26</v>
      </c>
      <c r="E81" t="str">
        <f>INDEX(Lotes!$E$2:$E$53,INT((ROW()-2)/5)+1)</f>
        <v>Algodón</v>
      </c>
      <c r="F81">
        <v>98.05</v>
      </c>
      <c r="G81">
        <f>96</f>
        <v>96</v>
      </c>
      <c r="H81">
        <f>100</f>
        <v>100</v>
      </c>
      <c r="I81" t="str">
        <f t="shared" si="7"/>
        <v>✅ OK</v>
      </c>
      <c r="J81" s="6">
        <f>AVERAGE($F$2:F81)</f>
        <v>98.214875000000021</v>
      </c>
      <c r="K81">
        <f>IF(COUNTA($F$2:F81)&lt;20,"",_xlfn.STDEV.P($F$2:F81))</f>
        <v>0.75498674450284275</v>
      </c>
      <c r="L81">
        <f t="shared" si="8"/>
        <v>0.88</v>
      </c>
      <c r="M81">
        <f t="shared" si="9"/>
        <v>0.79</v>
      </c>
      <c r="N81" t="str">
        <f t="shared" si="10"/>
        <v>❌ NO CAPAZ — Requiere mejora</v>
      </c>
      <c r="O81">
        <f t="shared" si="11"/>
        <v>0.72</v>
      </c>
    </row>
    <row r="82" spans="1:15" x14ac:dyDescent="0.3">
      <c r="A82" t="str">
        <f t="shared" si="6"/>
        <v>MED-081</v>
      </c>
      <c r="B82" t="str">
        <f>INDEX(Lotes!$A$2:$A$53,INT((ROW()-2)/5)+1)</f>
        <v>RETEX-2024-017</v>
      </c>
      <c r="C82" s="2">
        <f>INDEX(Lotes!$B$2:$B$53,INT((ROW()-2)/5)+1)</f>
        <v>46207</v>
      </c>
      <c r="D82">
        <f>INDEX(Lotes!$C$2:$C$53,INT((ROW()-2)/5)+1)</f>
        <v>27</v>
      </c>
      <c r="E82" t="str">
        <f>INDEX(Lotes!$E$2:$E$53,INT((ROW()-2)/5)+1)</f>
        <v>Poliéster</v>
      </c>
      <c r="F82">
        <v>98.94</v>
      </c>
      <c r="G82">
        <f>96</f>
        <v>96</v>
      </c>
      <c r="H82">
        <f>100</f>
        <v>100</v>
      </c>
      <c r="I82" t="str">
        <f t="shared" si="7"/>
        <v>✅ OK</v>
      </c>
      <c r="J82" s="6">
        <f>AVERAGE($F$2:F82)</f>
        <v>98.22382716049384</v>
      </c>
      <c r="K82">
        <f>IF(COUNTA($F$2:F82)&lt;20,"",_xlfn.STDEV.P($F$2:F82))</f>
        <v>0.75457218342783394</v>
      </c>
      <c r="L82">
        <f t="shared" si="8"/>
        <v>0.88</v>
      </c>
      <c r="M82">
        <f t="shared" si="9"/>
        <v>0.78</v>
      </c>
      <c r="N82" t="str">
        <f t="shared" si="10"/>
        <v>❌ NO CAPAZ — Requiere mejora</v>
      </c>
      <c r="O82">
        <f t="shared" si="11"/>
        <v>0.7</v>
      </c>
    </row>
    <row r="83" spans="1:15" x14ac:dyDescent="0.3">
      <c r="A83" t="str">
        <f t="shared" si="6"/>
        <v>MED-082</v>
      </c>
      <c r="B83" t="str">
        <f>INDEX(Lotes!$A$2:$A$53,INT((ROW()-2)/5)+1)</f>
        <v>RETEX-2024-017</v>
      </c>
      <c r="C83" s="2">
        <f>INDEX(Lotes!$B$2:$B$53,INT((ROW()-2)/5)+1)</f>
        <v>46207</v>
      </c>
      <c r="D83">
        <f>INDEX(Lotes!$C$2:$C$53,INT((ROW()-2)/5)+1)</f>
        <v>27</v>
      </c>
      <c r="E83" t="str">
        <f>INDEX(Lotes!$E$2:$E$53,INT((ROW()-2)/5)+1)</f>
        <v>Poliéster</v>
      </c>
      <c r="F83">
        <v>98.93</v>
      </c>
      <c r="G83">
        <f>96</f>
        <v>96</v>
      </c>
      <c r="H83">
        <f>100</f>
        <v>100</v>
      </c>
      <c r="I83" t="str">
        <f t="shared" si="7"/>
        <v>✅ OK</v>
      </c>
      <c r="J83" s="6">
        <f>AVERAGE($F$2:F83)</f>
        <v>98.23243902439026</v>
      </c>
      <c r="K83">
        <f>IF(COUNTA($F$2:F83)&lt;20,"",_xlfn.STDEV.P($F$2:F83))</f>
        <v>0.7539514783113227</v>
      </c>
      <c r="L83">
        <f t="shared" si="8"/>
        <v>0.88</v>
      </c>
      <c r="M83">
        <f t="shared" si="9"/>
        <v>0.78</v>
      </c>
      <c r="N83" t="str">
        <f t="shared" si="10"/>
        <v>❌ NO CAPAZ — Requiere mejora</v>
      </c>
      <c r="O83">
        <f t="shared" si="11"/>
        <v>0.56999999999999995</v>
      </c>
    </row>
    <row r="84" spans="1:15" x14ac:dyDescent="0.3">
      <c r="A84" t="str">
        <f t="shared" si="6"/>
        <v>MED-083</v>
      </c>
      <c r="B84" t="str">
        <f>INDEX(Lotes!$A$2:$A$53,INT((ROW()-2)/5)+1)</f>
        <v>RETEX-2024-017</v>
      </c>
      <c r="C84" s="2">
        <f>INDEX(Lotes!$B$2:$B$53,INT((ROW()-2)/5)+1)</f>
        <v>46207</v>
      </c>
      <c r="D84">
        <f>INDEX(Lotes!$C$2:$C$53,INT((ROW()-2)/5)+1)</f>
        <v>27</v>
      </c>
      <c r="E84" t="str">
        <f>INDEX(Lotes!$E$2:$E$53,INT((ROW()-2)/5)+1)</f>
        <v>Poliéster</v>
      </c>
      <c r="F84">
        <v>98.81</v>
      </c>
      <c r="G84">
        <f>96</f>
        <v>96</v>
      </c>
      <c r="H84">
        <f>100</f>
        <v>100</v>
      </c>
      <c r="I84" t="str">
        <f t="shared" si="7"/>
        <v>✅ OK</v>
      </c>
      <c r="J84" s="6">
        <f>AVERAGE($F$2:F84)</f>
        <v>98.239397590361463</v>
      </c>
      <c r="K84">
        <f>IF(COUNTA($F$2:F84)&lt;20,"",_xlfn.STDEV.P($F$2:F84))</f>
        <v>0.75204035619346365</v>
      </c>
      <c r="L84">
        <f t="shared" si="8"/>
        <v>0.89</v>
      </c>
      <c r="M84">
        <f t="shared" si="9"/>
        <v>0.78</v>
      </c>
      <c r="N84" t="str">
        <f t="shared" si="10"/>
        <v>❌ NO CAPAZ — Requiere mejora</v>
      </c>
      <c r="O84">
        <f t="shared" si="11"/>
        <v>0.1</v>
      </c>
    </row>
    <row r="85" spans="1:15" x14ac:dyDescent="0.3">
      <c r="A85" t="str">
        <f t="shared" si="6"/>
        <v>MED-084</v>
      </c>
      <c r="B85" t="str">
        <f>INDEX(Lotes!$A$2:$A$53,INT((ROW()-2)/5)+1)</f>
        <v>RETEX-2024-017</v>
      </c>
      <c r="C85" s="2">
        <f>INDEX(Lotes!$B$2:$B$53,INT((ROW()-2)/5)+1)</f>
        <v>46207</v>
      </c>
      <c r="D85">
        <f>INDEX(Lotes!$C$2:$C$53,INT((ROW()-2)/5)+1)</f>
        <v>27</v>
      </c>
      <c r="E85" t="str">
        <f>INDEX(Lotes!$E$2:$E$53,INT((ROW()-2)/5)+1)</f>
        <v>Poliéster</v>
      </c>
      <c r="F85">
        <v>98.34</v>
      </c>
      <c r="G85">
        <f>96</f>
        <v>96</v>
      </c>
      <c r="H85">
        <f>100</f>
        <v>100</v>
      </c>
      <c r="I85" t="str">
        <f t="shared" si="7"/>
        <v>✅ OK</v>
      </c>
      <c r="J85" s="6">
        <f>AVERAGE($F$2:F85)</f>
        <v>98.240595238095253</v>
      </c>
      <c r="K85">
        <f>IF(COUNTA($F$2:F85)&lt;20,"",_xlfn.STDEV.P($F$2:F85))</f>
        <v>0.74763014664190808</v>
      </c>
      <c r="L85">
        <f t="shared" si="8"/>
        <v>0.89</v>
      </c>
      <c r="M85">
        <f t="shared" si="9"/>
        <v>0.78</v>
      </c>
      <c r="N85" t="str">
        <f t="shared" si="10"/>
        <v>❌ NO CAPAZ — Requiere mejora</v>
      </c>
      <c r="O85">
        <f t="shared" si="11"/>
        <v>0.37</v>
      </c>
    </row>
    <row r="86" spans="1:15" x14ac:dyDescent="0.3">
      <c r="A86" t="str">
        <f t="shared" si="6"/>
        <v>MED-085</v>
      </c>
      <c r="B86" t="str">
        <f>INDEX(Lotes!$A$2:$A$53,INT((ROW()-2)/5)+1)</f>
        <v>RETEX-2024-017</v>
      </c>
      <c r="C86" s="2">
        <f>INDEX(Lotes!$B$2:$B$53,INT((ROW()-2)/5)+1)</f>
        <v>46207</v>
      </c>
      <c r="D86">
        <f>INDEX(Lotes!$C$2:$C$53,INT((ROW()-2)/5)+1)</f>
        <v>27</v>
      </c>
      <c r="E86" t="str">
        <f>INDEX(Lotes!$E$2:$E$53,INT((ROW()-2)/5)+1)</f>
        <v>Poliéster</v>
      </c>
      <c r="F86">
        <v>98.61</v>
      </c>
      <c r="G86">
        <f>96</f>
        <v>96</v>
      </c>
      <c r="H86">
        <f>100</f>
        <v>100</v>
      </c>
      <c r="I86" t="str">
        <f t="shared" si="7"/>
        <v>✅ OK</v>
      </c>
      <c r="J86" s="6">
        <f>AVERAGE($F$2:F86)</f>
        <v>98.244941176470604</v>
      </c>
      <c r="K86">
        <f>IF(COUNTA($F$2:F86)&lt;20,"",_xlfn.STDEV.P($F$2:F86))</f>
        <v>0.74428587728642825</v>
      </c>
      <c r="L86">
        <f t="shared" si="8"/>
        <v>0.9</v>
      </c>
      <c r="M86">
        <f t="shared" si="9"/>
        <v>0.79</v>
      </c>
      <c r="N86" t="str">
        <f t="shared" si="10"/>
        <v>❌ NO CAPAZ — Requiere mejora</v>
      </c>
      <c r="O86">
        <f t="shared" si="11"/>
        <v>0.59</v>
      </c>
    </row>
    <row r="87" spans="1:15" x14ac:dyDescent="0.3">
      <c r="A87" t="str">
        <f t="shared" si="6"/>
        <v>MED-086</v>
      </c>
      <c r="B87" t="str">
        <f>INDEX(Lotes!$A$2:$A$53,INT((ROW()-2)/5)+1)</f>
        <v>RETEX-2024-018</v>
      </c>
      <c r="C87" s="2">
        <f>INDEX(Lotes!$B$2:$B$53,INT((ROW()-2)/5)+1)</f>
        <v>46214</v>
      </c>
      <c r="D87">
        <f>INDEX(Lotes!$C$2:$C$53,INT((ROW()-2)/5)+1)</f>
        <v>28</v>
      </c>
      <c r="E87" t="str">
        <f>INDEX(Lotes!$E$2:$E$53,INT((ROW()-2)/5)+1)</f>
        <v>Mezcla</v>
      </c>
      <c r="F87">
        <v>98.84</v>
      </c>
      <c r="G87">
        <f>96</f>
        <v>96</v>
      </c>
      <c r="H87">
        <f>100</f>
        <v>100</v>
      </c>
      <c r="I87" t="str">
        <f t="shared" si="7"/>
        <v>✅ OK</v>
      </c>
      <c r="J87" s="6">
        <f>AVERAGE($F$2:F87)</f>
        <v>98.251860465116295</v>
      </c>
      <c r="K87">
        <f>IF(COUNTA($F$2:F87)&lt;20,"",_xlfn.STDEV.P($F$2:F87))</f>
        <v>0.74269075793722217</v>
      </c>
      <c r="L87">
        <f t="shared" si="8"/>
        <v>0.9</v>
      </c>
      <c r="M87">
        <f t="shared" si="9"/>
        <v>0.78</v>
      </c>
      <c r="N87" t="str">
        <f t="shared" si="10"/>
        <v>❌ NO CAPAZ — Requiere mejora</v>
      </c>
      <c r="O87">
        <f t="shared" si="11"/>
        <v>-1.37</v>
      </c>
    </row>
    <row r="88" spans="1:15" x14ac:dyDescent="0.3">
      <c r="A88" t="str">
        <f t="shared" si="6"/>
        <v>MED-087</v>
      </c>
      <c r="B88" t="str">
        <f>INDEX(Lotes!$A$2:$A$53,INT((ROW()-2)/5)+1)</f>
        <v>RETEX-2024-018</v>
      </c>
      <c r="C88" s="2">
        <f>INDEX(Lotes!$B$2:$B$53,INT((ROW()-2)/5)+1)</f>
        <v>46214</v>
      </c>
      <c r="D88">
        <f>INDEX(Lotes!$C$2:$C$53,INT((ROW()-2)/5)+1)</f>
        <v>28</v>
      </c>
      <c r="E88" t="str">
        <f>INDEX(Lotes!$E$2:$E$53,INT((ROW()-2)/5)+1)</f>
        <v>Mezcla</v>
      </c>
      <c r="F88">
        <v>96.87</v>
      </c>
      <c r="G88">
        <f>96</f>
        <v>96</v>
      </c>
      <c r="H88">
        <f>100</f>
        <v>100</v>
      </c>
      <c r="I88" t="str">
        <f t="shared" si="7"/>
        <v>✅ OK</v>
      </c>
      <c r="J88" s="6">
        <f>AVERAGE($F$2:F88)</f>
        <v>98.235977011494285</v>
      </c>
      <c r="K88">
        <f>IF(COUNTA($F$2:F88)&lt;20,"",_xlfn.STDEV.P($F$2:F88))</f>
        <v>0.75295808949037824</v>
      </c>
      <c r="L88">
        <f t="shared" si="8"/>
        <v>0.89</v>
      </c>
      <c r="M88">
        <f t="shared" si="9"/>
        <v>0.78</v>
      </c>
      <c r="N88" t="str">
        <f t="shared" si="10"/>
        <v>❌ NO CAPAZ — Requiere mejora</v>
      </c>
      <c r="O88">
        <f t="shared" si="11"/>
        <v>1.02</v>
      </c>
    </row>
    <row r="89" spans="1:15" x14ac:dyDescent="0.3">
      <c r="A89" t="str">
        <f t="shared" si="6"/>
        <v>MED-088</v>
      </c>
      <c r="B89" t="str">
        <f>INDEX(Lotes!$A$2:$A$53,INT((ROW()-2)/5)+1)</f>
        <v>RETEX-2024-018</v>
      </c>
      <c r="C89" s="2">
        <f>INDEX(Lotes!$B$2:$B$53,INT((ROW()-2)/5)+1)</f>
        <v>46214</v>
      </c>
      <c r="D89">
        <f>INDEX(Lotes!$C$2:$C$53,INT((ROW()-2)/5)+1)</f>
        <v>28</v>
      </c>
      <c r="E89" t="str">
        <f>INDEX(Lotes!$E$2:$E$53,INT((ROW()-2)/5)+1)</f>
        <v>Mezcla</v>
      </c>
      <c r="F89">
        <v>99.27</v>
      </c>
      <c r="G89">
        <f>96</f>
        <v>96</v>
      </c>
      <c r="H89">
        <f>100</f>
        <v>100</v>
      </c>
      <c r="I89" t="str">
        <f t="shared" si="7"/>
        <v>✅ OK</v>
      </c>
      <c r="J89" s="6">
        <f>AVERAGE($F$2:F89)</f>
        <v>98.247727272727303</v>
      </c>
      <c r="K89">
        <f>IF(COUNTA($F$2:F89)&lt;20,"",_xlfn.STDEV.P($F$2:F89))</f>
        <v>0.75664740087850613</v>
      </c>
      <c r="L89">
        <f t="shared" si="8"/>
        <v>0.88</v>
      </c>
      <c r="M89">
        <f t="shared" si="9"/>
        <v>0.77</v>
      </c>
      <c r="N89" t="str">
        <f t="shared" si="10"/>
        <v>❌ NO CAPAZ — Requiere mejora</v>
      </c>
      <c r="O89">
        <f t="shared" si="11"/>
        <v>-0.95</v>
      </c>
    </row>
    <row r="90" spans="1:15" x14ac:dyDescent="0.3">
      <c r="A90" t="str">
        <f t="shared" si="6"/>
        <v>MED-089</v>
      </c>
      <c r="B90" t="str">
        <f>INDEX(Lotes!$A$2:$A$53,INT((ROW()-2)/5)+1)</f>
        <v>RETEX-2024-018</v>
      </c>
      <c r="C90" s="2">
        <f>INDEX(Lotes!$B$2:$B$53,INT((ROW()-2)/5)+1)</f>
        <v>46214</v>
      </c>
      <c r="D90">
        <f>INDEX(Lotes!$C$2:$C$53,INT((ROW()-2)/5)+1)</f>
        <v>28</v>
      </c>
      <c r="E90" t="str">
        <f>INDEX(Lotes!$E$2:$E$53,INT((ROW()-2)/5)+1)</f>
        <v>Mezcla</v>
      </c>
      <c r="F90">
        <v>97.29</v>
      </c>
      <c r="G90">
        <f>96</f>
        <v>96</v>
      </c>
      <c r="H90">
        <f>100</f>
        <v>100</v>
      </c>
      <c r="I90" t="str">
        <f t="shared" si="7"/>
        <v>✅ OK</v>
      </c>
      <c r="J90" s="6">
        <f>AVERAGE($F$2:F90)</f>
        <v>98.236966292134881</v>
      </c>
      <c r="K90">
        <f>IF(COUNTA($F$2:F90)&lt;20,"",_xlfn.STDEV.P($F$2:F90))</f>
        <v>0.75912635251880112</v>
      </c>
      <c r="L90">
        <f t="shared" si="8"/>
        <v>0.88</v>
      </c>
      <c r="M90">
        <f t="shared" si="9"/>
        <v>0.77</v>
      </c>
      <c r="N90" t="str">
        <f t="shared" si="10"/>
        <v>❌ NO CAPAZ — Requiere mejora</v>
      </c>
      <c r="O90">
        <f t="shared" si="11"/>
        <v>0.71</v>
      </c>
    </row>
    <row r="91" spans="1:15" x14ac:dyDescent="0.3">
      <c r="A91" t="str">
        <f t="shared" si="6"/>
        <v>MED-090</v>
      </c>
      <c r="B91" t="str">
        <f>INDEX(Lotes!$A$2:$A$53,INT((ROW()-2)/5)+1)</f>
        <v>RETEX-2024-018</v>
      </c>
      <c r="C91" s="2">
        <f>INDEX(Lotes!$B$2:$B$53,INT((ROW()-2)/5)+1)</f>
        <v>46214</v>
      </c>
      <c r="D91">
        <f>INDEX(Lotes!$C$2:$C$53,INT((ROW()-2)/5)+1)</f>
        <v>28</v>
      </c>
      <c r="E91" t="str">
        <f>INDEX(Lotes!$E$2:$E$53,INT((ROW()-2)/5)+1)</f>
        <v>Mezcla</v>
      </c>
      <c r="F91">
        <v>98.95</v>
      </c>
      <c r="G91">
        <f>96</f>
        <v>96</v>
      </c>
      <c r="H91">
        <f>100</f>
        <v>100</v>
      </c>
      <c r="I91" t="str">
        <f t="shared" si="7"/>
        <v>✅ OK</v>
      </c>
      <c r="J91" s="6">
        <f>AVERAGE($F$2:F91)</f>
        <v>98.244888888888937</v>
      </c>
      <c r="K91">
        <f>IF(COUNTA($F$2:F91)&lt;20,"",_xlfn.STDEV.P($F$2:F91))</f>
        <v>0.75858822741025478</v>
      </c>
      <c r="L91">
        <f t="shared" si="8"/>
        <v>0.88</v>
      </c>
      <c r="M91">
        <f t="shared" si="9"/>
        <v>0.77</v>
      </c>
      <c r="N91" t="str">
        <f t="shared" si="10"/>
        <v>❌ NO CAPAZ — Requiere mejora</v>
      </c>
      <c r="O91">
        <f t="shared" si="11"/>
        <v>-0.31</v>
      </c>
    </row>
    <row r="92" spans="1:15" x14ac:dyDescent="0.3">
      <c r="A92" t="str">
        <f t="shared" si="6"/>
        <v>MED-091</v>
      </c>
      <c r="B92" t="str">
        <f>INDEX(Lotes!$A$2:$A$53,INT((ROW()-2)/5)+1)</f>
        <v>RETEX-2024-019</v>
      </c>
      <c r="C92" s="2">
        <f>INDEX(Lotes!$B$2:$B$53,INT((ROW()-2)/5)+1)</f>
        <v>46221</v>
      </c>
      <c r="D92">
        <f>INDEX(Lotes!$C$2:$C$53,INT((ROW()-2)/5)+1)</f>
        <v>29</v>
      </c>
      <c r="E92" t="str">
        <f>INDEX(Lotes!$E$2:$E$53,INT((ROW()-2)/5)+1)</f>
        <v>Algodón</v>
      </c>
      <c r="F92">
        <v>97.93</v>
      </c>
      <c r="G92">
        <f>96</f>
        <v>96</v>
      </c>
      <c r="H92">
        <f>100</f>
        <v>100</v>
      </c>
      <c r="I92" t="str">
        <f t="shared" si="7"/>
        <v>✅ OK</v>
      </c>
      <c r="J92" s="6">
        <f>AVERAGE($F$2:F92)</f>
        <v>98.241428571428628</v>
      </c>
      <c r="K92">
        <f>IF(COUNTA($F$2:F92)&lt;20,"",_xlfn.STDEV.P($F$2:F92))</f>
        <v>0.7551225378014893</v>
      </c>
      <c r="L92">
        <f t="shared" si="8"/>
        <v>0.88</v>
      </c>
      <c r="M92">
        <f t="shared" si="9"/>
        <v>0.78</v>
      </c>
      <c r="N92" t="str">
        <f t="shared" si="10"/>
        <v>❌ NO CAPAZ — Requiere mejora</v>
      </c>
      <c r="O92">
        <f t="shared" si="11"/>
        <v>0.05</v>
      </c>
    </row>
    <row r="93" spans="1:15" x14ac:dyDescent="0.3">
      <c r="A93" t="str">
        <f t="shared" si="6"/>
        <v>MED-092</v>
      </c>
      <c r="B93" t="str">
        <f>INDEX(Lotes!$A$2:$A$53,INT((ROW()-2)/5)+1)</f>
        <v>RETEX-2024-019</v>
      </c>
      <c r="C93" s="2">
        <f>INDEX(Lotes!$B$2:$B$53,INT((ROW()-2)/5)+1)</f>
        <v>46221</v>
      </c>
      <c r="D93">
        <f>INDEX(Lotes!$C$2:$C$53,INT((ROW()-2)/5)+1)</f>
        <v>29</v>
      </c>
      <c r="E93" t="str">
        <f>INDEX(Lotes!$E$2:$E$53,INT((ROW()-2)/5)+1)</f>
        <v>Algodón</v>
      </c>
      <c r="F93">
        <v>98.29</v>
      </c>
      <c r="G93">
        <f>96</f>
        <v>96</v>
      </c>
      <c r="H93">
        <f>100</f>
        <v>100</v>
      </c>
      <c r="I93" t="str">
        <f t="shared" si="7"/>
        <v>✅ OK</v>
      </c>
      <c r="J93" s="6">
        <f>AVERAGE($F$2:F93)</f>
        <v>98.241956521739198</v>
      </c>
      <c r="K93">
        <f>IF(COUNTA($F$2:F93)&lt;20,"",_xlfn.STDEV.P($F$2:F93))</f>
        <v>0.75102428480742922</v>
      </c>
      <c r="L93">
        <f t="shared" si="8"/>
        <v>0.89</v>
      </c>
      <c r="M93">
        <f t="shared" si="9"/>
        <v>0.78</v>
      </c>
      <c r="N93" t="str">
        <f t="shared" si="10"/>
        <v>❌ NO CAPAZ — Requiere mejora</v>
      </c>
      <c r="O93">
        <f t="shared" si="11"/>
        <v>0.04</v>
      </c>
    </row>
    <row r="94" spans="1:15" x14ac:dyDescent="0.3">
      <c r="A94" t="str">
        <f t="shared" si="6"/>
        <v>MED-093</v>
      </c>
      <c r="B94" t="str">
        <f>INDEX(Lotes!$A$2:$A$53,INT((ROW()-2)/5)+1)</f>
        <v>RETEX-2024-019</v>
      </c>
      <c r="C94" s="2">
        <f>INDEX(Lotes!$B$2:$B$53,INT((ROW()-2)/5)+1)</f>
        <v>46221</v>
      </c>
      <c r="D94">
        <f>INDEX(Lotes!$C$2:$C$53,INT((ROW()-2)/5)+1)</f>
        <v>29</v>
      </c>
      <c r="E94" t="str">
        <f>INDEX(Lotes!$E$2:$E$53,INT((ROW()-2)/5)+1)</f>
        <v>Algodón</v>
      </c>
      <c r="F94">
        <v>98.28</v>
      </c>
      <c r="G94">
        <f>96</f>
        <v>96</v>
      </c>
      <c r="H94">
        <f>100</f>
        <v>100</v>
      </c>
      <c r="I94" t="str">
        <f t="shared" si="7"/>
        <v>✅ OK</v>
      </c>
      <c r="J94" s="6">
        <f>AVERAGE($F$2:F94)</f>
        <v>98.242365591397913</v>
      </c>
      <c r="K94">
        <f>IF(COUNTA($F$2:F94)&lt;20,"",_xlfn.STDEV.P($F$2:F94))</f>
        <v>0.74698591175766849</v>
      </c>
      <c r="L94">
        <f t="shared" si="8"/>
        <v>0.89</v>
      </c>
      <c r="M94">
        <f t="shared" si="9"/>
        <v>0.78</v>
      </c>
      <c r="N94" t="str">
        <f t="shared" si="10"/>
        <v>❌ NO CAPAZ — Requiere mejora</v>
      </c>
      <c r="O94">
        <f t="shared" si="11"/>
        <v>0.03</v>
      </c>
    </row>
    <row r="95" spans="1:15" x14ac:dyDescent="0.3">
      <c r="A95" t="str">
        <f t="shared" si="6"/>
        <v>MED-094</v>
      </c>
      <c r="B95" t="str">
        <f>INDEX(Lotes!$A$2:$A$53,INT((ROW()-2)/5)+1)</f>
        <v>RETEX-2024-019</v>
      </c>
      <c r="C95" s="2">
        <f>INDEX(Lotes!$B$2:$B$53,INT((ROW()-2)/5)+1)</f>
        <v>46221</v>
      </c>
      <c r="D95">
        <f>INDEX(Lotes!$C$2:$C$53,INT((ROW()-2)/5)+1)</f>
        <v>29</v>
      </c>
      <c r="E95" t="str">
        <f>INDEX(Lotes!$E$2:$E$53,INT((ROW()-2)/5)+1)</f>
        <v>Algodón</v>
      </c>
      <c r="F95">
        <v>98.27</v>
      </c>
      <c r="G95">
        <f>96</f>
        <v>96</v>
      </c>
      <c r="H95">
        <f>100</f>
        <v>100</v>
      </c>
      <c r="I95" t="str">
        <f t="shared" si="7"/>
        <v>✅ OK</v>
      </c>
      <c r="J95" s="6">
        <f>AVERAGE($F$2:F95)</f>
        <v>98.242659574468163</v>
      </c>
      <c r="K95">
        <f>IF(COUNTA($F$2:F95)&lt;20,"",_xlfn.STDEV.P($F$2:F95))</f>
        <v>0.74300736735260231</v>
      </c>
      <c r="L95">
        <f t="shared" si="8"/>
        <v>0.9</v>
      </c>
      <c r="M95">
        <f t="shared" si="9"/>
        <v>0.79</v>
      </c>
      <c r="N95" t="str">
        <f t="shared" si="10"/>
        <v>❌ NO CAPAZ — Requiere mejora</v>
      </c>
      <c r="O95">
        <f t="shared" si="11"/>
        <v>-0.1</v>
      </c>
    </row>
    <row r="96" spans="1:15" x14ac:dyDescent="0.3">
      <c r="A96" t="str">
        <f t="shared" si="6"/>
        <v>MED-095</v>
      </c>
      <c r="B96" t="str">
        <f>INDEX(Lotes!$A$2:$A$53,INT((ROW()-2)/5)+1)</f>
        <v>RETEX-2024-019</v>
      </c>
      <c r="C96" s="2">
        <f>INDEX(Lotes!$B$2:$B$53,INT((ROW()-2)/5)+1)</f>
        <v>46221</v>
      </c>
      <c r="D96">
        <f>INDEX(Lotes!$C$2:$C$53,INT((ROW()-2)/5)+1)</f>
        <v>29</v>
      </c>
      <c r="E96" t="str">
        <f>INDEX(Lotes!$E$2:$E$53,INT((ROW()-2)/5)+1)</f>
        <v>Algodón</v>
      </c>
      <c r="F96">
        <v>98.14</v>
      </c>
      <c r="G96">
        <f>96</f>
        <v>96</v>
      </c>
      <c r="H96">
        <f>100</f>
        <v>100</v>
      </c>
      <c r="I96" t="str">
        <f t="shared" si="7"/>
        <v>✅ OK</v>
      </c>
      <c r="J96" s="6">
        <f>AVERAGE($F$2:F96)</f>
        <v>98.241578947368481</v>
      </c>
      <c r="K96">
        <f>IF(COUNTA($F$2:F96)&lt;20,"",_xlfn.STDEV.P($F$2:F96))</f>
        <v>0.739160712941906</v>
      </c>
      <c r="L96">
        <f t="shared" si="8"/>
        <v>0.9</v>
      </c>
      <c r="M96">
        <f t="shared" si="9"/>
        <v>0.79</v>
      </c>
      <c r="N96" t="str">
        <f t="shared" si="10"/>
        <v>❌ NO CAPAZ — Requiere mejora</v>
      </c>
      <c r="O96">
        <f t="shared" si="11"/>
        <v>0.23</v>
      </c>
    </row>
    <row r="97" spans="1:15" x14ac:dyDescent="0.3">
      <c r="A97" t="str">
        <f t="shared" si="6"/>
        <v>MED-096</v>
      </c>
      <c r="B97" t="str">
        <f>INDEX(Lotes!$A$2:$A$53,INT((ROW()-2)/5)+1)</f>
        <v>RETEX-2024-020</v>
      </c>
      <c r="C97" s="2">
        <f>INDEX(Lotes!$B$2:$B$53,INT((ROW()-2)/5)+1)</f>
        <v>46228</v>
      </c>
      <c r="D97">
        <f>INDEX(Lotes!$C$2:$C$53,INT((ROW()-2)/5)+1)</f>
        <v>30</v>
      </c>
      <c r="E97" t="str">
        <f>INDEX(Lotes!$E$2:$E$53,INT((ROW()-2)/5)+1)</f>
        <v>Poliéster</v>
      </c>
      <c r="F97">
        <v>98.47</v>
      </c>
      <c r="G97">
        <f>96</f>
        <v>96</v>
      </c>
      <c r="H97">
        <f>100</f>
        <v>100</v>
      </c>
      <c r="I97" t="str">
        <f t="shared" si="7"/>
        <v>✅ OK</v>
      </c>
      <c r="J97" s="6">
        <f>AVERAGE($F$2:F97)</f>
        <v>98.243958333333396</v>
      </c>
      <c r="K97">
        <f>IF(COUNTA($F$2:F97)&lt;20,"",_xlfn.STDEV.P($F$2:F97))</f>
        <v>0.73566647669345087</v>
      </c>
      <c r="L97">
        <f t="shared" si="8"/>
        <v>0.91</v>
      </c>
      <c r="M97">
        <f t="shared" si="9"/>
        <v>0.8</v>
      </c>
      <c r="N97" t="str">
        <f t="shared" si="10"/>
        <v>❌ NO CAPAZ — Requiere mejora</v>
      </c>
      <c r="O97">
        <f t="shared" si="11"/>
        <v>1.1200000000000001</v>
      </c>
    </row>
    <row r="98" spans="1:15" x14ac:dyDescent="0.3">
      <c r="A98" t="str">
        <f t="shared" si="6"/>
        <v>MED-097</v>
      </c>
      <c r="B98" t="str">
        <f>INDEX(Lotes!$A$2:$A$53,INT((ROW()-2)/5)+1)</f>
        <v>RETEX-2024-020</v>
      </c>
      <c r="C98" s="2">
        <f>INDEX(Lotes!$B$2:$B$53,INT((ROW()-2)/5)+1)</f>
        <v>46228</v>
      </c>
      <c r="D98">
        <f>INDEX(Lotes!$C$2:$C$53,INT((ROW()-2)/5)+1)</f>
        <v>30</v>
      </c>
      <c r="E98" t="str">
        <f>INDEX(Lotes!$E$2:$E$53,INT((ROW()-2)/5)+1)</f>
        <v>Poliéster</v>
      </c>
      <c r="F98">
        <v>99.38</v>
      </c>
      <c r="G98">
        <f>96</f>
        <v>96</v>
      </c>
      <c r="H98">
        <f>100</f>
        <v>100</v>
      </c>
      <c r="I98" t="str">
        <f t="shared" si="7"/>
        <v>✅ OK</v>
      </c>
      <c r="J98" s="6">
        <f>AVERAGE($F$2:F98)</f>
        <v>98.255670103092825</v>
      </c>
      <c r="K98">
        <f>IF(COUNTA($F$2:F98)&lt;20,"",_xlfn.STDEV.P($F$2:F98))</f>
        <v>0.74080606310072361</v>
      </c>
      <c r="L98">
        <f t="shared" si="8"/>
        <v>0.9</v>
      </c>
      <c r="M98">
        <f t="shared" si="9"/>
        <v>0.78</v>
      </c>
      <c r="N98" t="str">
        <f t="shared" si="10"/>
        <v>❌ NO CAPAZ — Requiere mejora</v>
      </c>
      <c r="O98">
        <f t="shared" si="11"/>
        <v>0.66</v>
      </c>
    </row>
    <row r="99" spans="1:15" x14ac:dyDescent="0.3">
      <c r="A99" t="str">
        <f t="shared" si="6"/>
        <v>MED-098</v>
      </c>
      <c r="B99" t="str">
        <f>INDEX(Lotes!$A$2:$A$53,INT((ROW()-2)/5)+1)</f>
        <v>RETEX-2024-020</v>
      </c>
      <c r="C99" s="2">
        <f>INDEX(Lotes!$B$2:$B$53,INT((ROW()-2)/5)+1)</f>
        <v>46228</v>
      </c>
      <c r="D99">
        <f>INDEX(Lotes!$C$2:$C$53,INT((ROW()-2)/5)+1)</f>
        <v>30</v>
      </c>
      <c r="E99" t="str">
        <f>INDEX(Lotes!$E$2:$E$53,INT((ROW()-2)/5)+1)</f>
        <v>Poliéster</v>
      </c>
      <c r="F99">
        <v>98.92</v>
      </c>
      <c r="G99">
        <f>96</f>
        <v>96</v>
      </c>
      <c r="H99">
        <f>100</f>
        <v>100</v>
      </c>
      <c r="I99" t="str">
        <f t="shared" si="7"/>
        <v>✅ OK</v>
      </c>
      <c r="J99" s="6">
        <f>AVERAGE($F$2:F99)</f>
        <v>98.262448979591881</v>
      </c>
      <c r="K99">
        <f>IF(COUNTA($F$2:F99)&lt;20,"",_xlfn.STDEV.P($F$2:F99))</f>
        <v>0.74003455686616515</v>
      </c>
      <c r="L99">
        <f t="shared" si="8"/>
        <v>0.9</v>
      </c>
      <c r="M99">
        <f t="shared" si="9"/>
        <v>0.78</v>
      </c>
      <c r="N99" t="str">
        <f t="shared" si="10"/>
        <v>❌ NO CAPAZ — Requiere mejora</v>
      </c>
      <c r="O99">
        <f t="shared" si="11"/>
        <v>0.98</v>
      </c>
    </row>
    <row r="100" spans="1:15" x14ac:dyDescent="0.3">
      <c r="A100" t="str">
        <f t="shared" si="6"/>
        <v>MED-099</v>
      </c>
      <c r="B100" t="str">
        <f>INDEX(Lotes!$A$2:$A$53,INT((ROW()-2)/5)+1)</f>
        <v>RETEX-2024-020</v>
      </c>
      <c r="C100" s="2">
        <f>INDEX(Lotes!$B$2:$B$53,INT((ROW()-2)/5)+1)</f>
        <v>46228</v>
      </c>
      <c r="D100">
        <f>INDEX(Lotes!$C$2:$C$53,INT((ROW()-2)/5)+1)</f>
        <v>30</v>
      </c>
      <c r="E100" t="str">
        <f>INDEX(Lotes!$E$2:$E$53,INT((ROW()-2)/5)+1)</f>
        <v>Poliéster</v>
      </c>
      <c r="F100">
        <v>99.25</v>
      </c>
      <c r="G100">
        <f>96</f>
        <v>96</v>
      </c>
      <c r="H100">
        <f>100</f>
        <v>100</v>
      </c>
      <c r="I100" t="str">
        <f t="shared" si="7"/>
        <v>✅ OK</v>
      </c>
      <c r="J100" s="6">
        <f>AVERAGE($F$2:F100)</f>
        <v>98.272424242424293</v>
      </c>
      <c r="K100">
        <f>IF(COUNTA($F$2:F100)&lt;20,"",_xlfn.STDEV.P($F$2:F100))</f>
        <v>0.74288013213804283</v>
      </c>
      <c r="L100">
        <f t="shared" si="8"/>
        <v>0.9</v>
      </c>
      <c r="M100">
        <f t="shared" si="9"/>
        <v>0.78</v>
      </c>
      <c r="N100" t="str">
        <f t="shared" si="10"/>
        <v>❌ NO CAPAZ — Requiere mejora</v>
      </c>
      <c r="O100">
        <f t="shared" si="11"/>
        <v>0.95</v>
      </c>
    </row>
    <row r="101" spans="1:15" x14ac:dyDescent="0.3">
      <c r="A101" t="str">
        <f t="shared" si="6"/>
        <v>MED-100</v>
      </c>
      <c r="B101" t="str">
        <f>INDEX(Lotes!$A$2:$A$53,INT((ROW()-2)/5)+1)</f>
        <v>RETEX-2024-020</v>
      </c>
      <c r="C101" s="2">
        <f>INDEX(Lotes!$B$2:$B$53,INT((ROW()-2)/5)+1)</f>
        <v>46228</v>
      </c>
      <c r="D101">
        <f>INDEX(Lotes!$C$2:$C$53,INT((ROW()-2)/5)+1)</f>
        <v>30</v>
      </c>
      <c r="E101" t="str">
        <f>INDEX(Lotes!$E$2:$E$53,INT((ROW()-2)/5)+1)</f>
        <v>Poliéster</v>
      </c>
      <c r="F101">
        <v>99.23</v>
      </c>
      <c r="G101">
        <f>96</f>
        <v>96</v>
      </c>
      <c r="H101">
        <f>100</f>
        <v>100</v>
      </c>
      <c r="I101" t="str">
        <f t="shared" si="7"/>
        <v>✅ OK</v>
      </c>
      <c r="J101" s="6">
        <f>AVERAGE($F$2:F101)</f>
        <v>98.282000000000039</v>
      </c>
      <c r="K101">
        <f>IF(COUNTA($F$2:F101)&lt;20,"",_xlfn.STDEV.P($F$2:F101))</f>
        <v>0.74527176251351435</v>
      </c>
      <c r="L101">
        <f t="shared" si="8"/>
        <v>0.89</v>
      </c>
      <c r="M101">
        <f t="shared" si="9"/>
        <v>0.77</v>
      </c>
      <c r="N101" t="str">
        <f t="shared" si="10"/>
        <v>❌ NO CAPAZ — Requiere mejora</v>
      </c>
      <c r="O101">
        <f t="shared" si="11"/>
        <v>-0.53</v>
      </c>
    </row>
    <row r="102" spans="1:15" x14ac:dyDescent="0.3">
      <c r="A102" t="str">
        <f t="shared" si="6"/>
        <v>MED-101</v>
      </c>
      <c r="B102" t="str">
        <f>INDEX(Lotes!$A$2:$A$53,INT((ROW()-2)/5)+1)</f>
        <v>RETEX-2024-021</v>
      </c>
      <c r="C102" s="2">
        <f>INDEX(Lotes!$B$2:$B$53,INT((ROW()-2)/5)+1)</f>
        <v>46235</v>
      </c>
      <c r="D102">
        <f>INDEX(Lotes!$C$2:$C$53,INT((ROW()-2)/5)+1)</f>
        <v>31</v>
      </c>
      <c r="E102" t="str">
        <f>INDEX(Lotes!$E$2:$E$53,INT((ROW()-2)/5)+1)</f>
        <v>Mezcla</v>
      </c>
      <c r="F102">
        <v>97.75</v>
      </c>
      <c r="G102">
        <f>96</f>
        <v>96</v>
      </c>
      <c r="H102">
        <f>100</f>
        <v>100</v>
      </c>
      <c r="I102" t="str">
        <f t="shared" si="7"/>
        <v>✅ OK</v>
      </c>
      <c r="J102" s="6">
        <f>AVERAGE($F$2:F102)</f>
        <v>98.276732673267375</v>
      </c>
      <c r="K102">
        <f>IF(COUNTA($F$2:F102)&lt;20,"",_xlfn.STDEV.P($F$2:F102))</f>
        <v>0.74344143425032516</v>
      </c>
      <c r="L102">
        <f t="shared" si="8"/>
        <v>0.9</v>
      </c>
      <c r="M102">
        <f t="shared" si="9"/>
        <v>0.77</v>
      </c>
      <c r="N102" t="str">
        <f t="shared" si="10"/>
        <v>❌ NO CAPAZ — Requiere mejora</v>
      </c>
      <c r="O102">
        <f t="shared" si="11"/>
        <v>-1.1599999999999999</v>
      </c>
    </row>
    <row r="103" spans="1:15" x14ac:dyDescent="0.3">
      <c r="A103" t="str">
        <f t="shared" si="6"/>
        <v>MED-102</v>
      </c>
      <c r="B103" t="str">
        <f>INDEX(Lotes!$A$2:$A$53,INT((ROW()-2)/5)+1)</f>
        <v>RETEX-2024-021</v>
      </c>
      <c r="C103" s="2">
        <f>INDEX(Lotes!$B$2:$B$53,INT((ROW()-2)/5)+1)</f>
        <v>46235</v>
      </c>
      <c r="D103">
        <f>INDEX(Lotes!$C$2:$C$53,INT((ROW()-2)/5)+1)</f>
        <v>31</v>
      </c>
      <c r="E103" t="str">
        <f>INDEX(Lotes!$E$2:$E$53,INT((ROW()-2)/5)+1)</f>
        <v>Mezcla</v>
      </c>
      <c r="F103">
        <v>97.11</v>
      </c>
      <c r="G103">
        <f>96</f>
        <v>96</v>
      </c>
      <c r="H103">
        <f>100</f>
        <v>100</v>
      </c>
      <c r="I103" t="str">
        <f t="shared" si="7"/>
        <v>✅ OK</v>
      </c>
      <c r="J103" s="6">
        <f>AVERAGE($F$2:F103)</f>
        <v>98.265294117647102</v>
      </c>
      <c r="K103">
        <f>IF(COUNTA($F$2:F103)&lt;20,"",_xlfn.STDEV.P($F$2:F103))</f>
        <v>0.74866640373603333</v>
      </c>
      <c r="L103">
        <f t="shared" si="8"/>
        <v>0.89</v>
      </c>
      <c r="M103">
        <f t="shared" si="9"/>
        <v>0.77</v>
      </c>
      <c r="N103" t="str">
        <f t="shared" si="10"/>
        <v>❌ NO CAPAZ — Requiere mejora</v>
      </c>
      <c r="O103">
        <f t="shared" si="11"/>
        <v>-1.08</v>
      </c>
    </row>
    <row r="104" spans="1:15" x14ac:dyDescent="0.3">
      <c r="A104" t="str">
        <f t="shared" si="6"/>
        <v>MED-103</v>
      </c>
      <c r="B104" t="str">
        <f>INDEX(Lotes!$A$2:$A$53,INT((ROW()-2)/5)+1)</f>
        <v>RETEX-2024-021</v>
      </c>
      <c r="C104" s="2">
        <f>INDEX(Lotes!$B$2:$B$53,INT((ROW()-2)/5)+1)</f>
        <v>46235</v>
      </c>
      <c r="D104">
        <f>INDEX(Lotes!$C$2:$C$53,INT((ROW()-2)/5)+1)</f>
        <v>31</v>
      </c>
      <c r="E104" t="str">
        <f>INDEX(Lotes!$E$2:$E$53,INT((ROW()-2)/5)+1)</f>
        <v>Mezcla</v>
      </c>
      <c r="F104">
        <v>97.17</v>
      </c>
      <c r="G104">
        <f>96</f>
        <v>96</v>
      </c>
      <c r="H104">
        <f>100</f>
        <v>100</v>
      </c>
      <c r="I104" t="str">
        <f t="shared" si="7"/>
        <v>✅ OK</v>
      </c>
      <c r="J104" s="6">
        <f>AVERAGE($F$2:F104)</f>
        <v>98.254660194174804</v>
      </c>
      <c r="K104">
        <f>IF(COUNTA($F$2:F104)&lt;20,"",_xlfn.STDEV.P($F$2:F104))</f>
        <v>0.75272426330684761</v>
      </c>
      <c r="L104">
        <f t="shared" si="8"/>
        <v>0.89</v>
      </c>
      <c r="M104">
        <f t="shared" si="9"/>
        <v>0.77</v>
      </c>
      <c r="N104" t="str">
        <f t="shared" si="10"/>
        <v>❌ NO CAPAZ — Requiere mejora</v>
      </c>
      <c r="O104">
        <f t="shared" si="11"/>
        <v>1.0900000000000001</v>
      </c>
    </row>
    <row r="105" spans="1:15" x14ac:dyDescent="0.3">
      <c r="A105" t="str">
        <f t="shared" si="6"/>
        <v>MED-104</v>
      </c>
      <c r="B105" t="str">
        <f>INDEX(Lotes!$A$2:$A$53,INT((ROW()-2)/5)+1)</f>
        <v>RETEX-2024-021</v>
      </c>
      <c r="C105" s="2">
        <f>INDEX(Lotes!$B$2:$B$53,INT((ROW()-2)/5)+1)</f>
        <v>46235</v>
      </c>
      <c r="D105">
        <f>INDEX(Lotes!$C$2:$C$53,INT((ROW()-2)/5)+1)</f>
        <v>31</v>
      </c>
      <c r="E105" t="str">
        <f>INDEX(Lotes!$E$2:$E$53,INT((ROW()-2)/5)+1)</f>
        <v>Mezcla</v>
      </c>
      <c r="F105">
        <v>99.36</v>
      </c>
      <c r="G105">
        <f>96</f>
        <v>96</v>
      </c>
      <c r="H105">
        <f>100</f>
        <v>100</v>
      </c>
      <c r="I105" t="str">
        <f t="shared" si="7"/>
        <v>✅ OK</v>
      </c>
      <c r="J105" s="6">
        <f>AVERAGE($F$2:F105)</f>
        <v>98.265288461538518</v>
      </c>
      <c r="K105">
        <f>IF(COUNTA($F$2:F105)&lt;20,"",_xlfn.STDEV.P($F$2:F105))</f>
        <v>0.75682275733536852</v>
      </c>
      <c r="L105">
        <f t="shared" si="8"/>
        <v>0.88</v>
      </c>
      <c r="M105">
        <f t="shared" si="9"/>
        <v>0.76</v>
      </c>
      <c r="N105" t="str">
        <f t="shared" si="10"/>
        <v>❌ NO CAPAZ — Requiere mejora</v>
      </c>
      <c r="O105">
        <f t="shared" si="11"/>
        <v>-2.0699999999999998</v>
      </c>
    </row>
    <row r="106" spans="1:15" x14ac:dyDescent="0.3">
      <c r="A106" t="str">
        <f t="shared" si="6"/>
        <v>MED-105</v>
      </c>
      <c r="B106" t="str">
        <f>INDEX(Lotes!$A$2:$A$53,INT((ROW()-2)/5)+1)</f>
        <v>RETEX-2024-021</v>
      </c>
      <c r="C106" s="2">
        <f>INDEX(Lotes!$B$2:$B$53,INT((ROW()-2)/5)+1)</f>
        <v>46235</v>
      </c>
      <c r="D106">
        <f>INDEX(Lotes!$C$2:$C$53,INT((ROW()-2)/5)+1)</f>
        <v>31</v>
      </c>
      <c r="E106" t="str">
        <f>INDEX(Lotes!$E$2:$E$53,INT((ROW()-2)/5)+1)</f>
        <v>Mezcla</v>
      </c>
      <c r="F106">
        <v>96.18</v>
      </c>
      <c r="G106">
        <f>96</f>
        <v>96</v>
      </c>
      <c r="H106">
        <f>100</f>
        <v>100</v>
      </c>
      <c r="I106" t="str">
        <f t="shared" si="7"/>
        <v>✅ OK</v>
      </c>
      <c r="J106" s="6">
        <f>AVERAGE($F$2:F106)</f>
        <v>98.245428571428633</v>
      </c>
      <c r="K106">
        <f>IF(COUNTA($F$2:F106)&lt;20,"",_xlfn.STDEV.P($F$2:F106))</f>
        <v>0.77996462504816855</v>
      </c>
      <c r="L106">
        <f t="shared" si="8"/>
        <v>0.85</v>
      </c>
      <c r="M106">
        <f t="shared" si="9"/>
        <v>0.75</v>
      </c>
      <c r="N106" t="str">
        <f t="shared" si="10"/>
        <v>❌ NO CAPAZ — Requiere mejora</v>
      </c>
      <c r="O106">
        <f t="shared" si="11"/>
        <v>-0.28999999999999998</v>
      </c>
    </row>
    <row r="107" spans="1:15" x14ac:dyDescent="0.3">
      <c r="A107" t="str">
        <f t="shared" si="6"/>
        <v>MED-106</v>
      </c>
      <c r="B107" t="str">
        <f>INDEX(Lotes!$A$2:$A$53,INT((ROW()-2)/5)+1)</f>
        <v>RETEX-2024-022</v>
      </c>
      <c r="C107" s="2">
        <f>INDEX(Lotes!$B$2:$B$53,INT((ROW()-2)/5)+1)</f>
        <v>46242</v>
      </c>
      <c r="D107">
        <f>INDEX(Lotes!$C$2:$C$53,INT((ROW()-2)/5)+1)</f>
        <v>32</v>
      </c>
      <c r="E107" t="str">
        <f>INDEX(Lotes!$E$2:$E$53,INT((ROW()-2)/5)+1)</f>
        <v>Algodón</v>
      </c>
      <c r="F107">
        <v>97.95</v>
      </c>
      <c r="G107">
        <f>96</f>
        <v>96</v>
      </c>
      <c r="H107">
        <f>100</f>
        <v>100</v>
      </c>
      <c r="I107" t="str">
        <f t="shared" si="7"/>
        <v>✅ OK</v>
      </c>
      <c r="J107" s="6">
        <f>AVERAGE($F$2:F107)</f>
        <v>98.242641509434023</v>
      </c>
      <c r="K107">
        <f>IF(COUNTA($F$2:F107)&lt;20,"",_xlfn.STDEV.P($F$2:F107))</f>
        <v>0.77680198526696764</v>
      </c>
      <c r="L107">
        <f t="shared" si="8"/>
        <v>0.86</v>
      </c>
      <c r="M107">
        <f t="shared" si="9"/>
        <v>0.75</v>
      </c>
      <c r="N107" t="str">
        <f t="shared" si="10"/>
        <v>❌ NO CAPAZ — Requiere mejora</v>
      </c>
      <c r="O107">
        <f t="shared" si="11"/>
        <v>0.63</v>
      </c>
    </row>
    <row r="108" spans="1:15" x14ac:dyDescent="0.3">
      <c r="A108" t="str">
        <f t="shared" si="6"/>
        <v>MED-107</v>
      </c>
      <c r="B108" t="str">
        <f>INDEX(Lotes!$A$2:$A$53,INT((ROW()-2)/5)+1)</f>
        <v>RETEX-2024-022</v>
      </c>
      <c r="C108" s="2">
        <f>INDEX(Lotes!$B$2:$B$53,INT((ROW()-2)/5)+1)</f>
        <v>46242</v>
      </c>
      <c r="D108">
        <f>INDEX(Lotes!$C$2:$C$53,INT((ROW()-2)/5)+1)</f>
        <v>32</v>
      </c>
      <c r="E108" t="str">
        <f>INDEX(Lotes!$E$2:$E$53,INT((ROW()-2)/5)+1)</f>
        <v>Algodón</v>
      </c>
      <c r="F108">
        <v>98.88</v>
      </c>
      <c r="G108">
        <f>96</f>
        <v>96</v>
      </c>
      <c r="H108">
        <f>100</f>
        <v>100</v>
      </c>
      <c r="I108" t="str">
        <f t="shared" si="7"/>
        <v>✅ OK</v>
      </c>
      <c r="J108" s="6">
        <f>AVERAGE($F$2:F108)</f>
        <v>98.248598130841174</v>
      </c>
      <c r="K108">
        <f>IF(COUNTA($F$2:F108)&lt;20,"",_xlfn.STDEV.P($F$2:F108))</f>
        <v>0.77559196397071173</v>
      </c>
      <c r="L108">
        <f t="shared" si="8"/>
        <v>0.86</v>
      </c>
      <c r="M108">
        <f t="shared" si="9"/>
        <v>0.75</v>
      </c>
      <c r="N108" t="str">
        <f t="shared" si="10"/>
        <v>❌ NO CAPAZ — Requiere mejora</v>
      </c>
      <c r="O108">
        <f t="shared" si="11"/>
        <v>-0.84</v>
      </c>
    </row>
    <row r="109" spans="1:15" x14ac:dyDescent="0.3">
      <c r="A109" t="str">
        <f t="shared" si="6"/>
        <v>MED-108</v>
      </c>
      <c r="B109" t="str">
        <f>INDEX(Lotes!$A$2:$A$53,INT((ROW()-2)/5)+1)</f>
        <v>RETEX-2024-022</v>
      </c>
      <c r="C109" s="2">
        <f>INDEX(Lotes!$B$2:$B$53,INT((ROW()-2)/5)+1)</f>
        <v>46242</v>
      </c>
      <c r="D109">
        <f>INDEX(Lotes!$C$2:$C$53,INT((ROW()-2)/5)+1)</f>
        <v>32</v>
      </c>
      <c r="E109" t="str">
        <f>INDEX(Lotes!$E$2:$E$53,INT((ROW()-2)/5)+1)</f>
        <v>Algodón</v>
      </c>
      <c r="F109">
        <v>97.4</v>
      </c>
      <c r="G109">
        <f>96</f>
        <v>96</v>
      </c>
      <c r="H109">
        <f>100</f>
        <v>100</v>
      </c>
      <c r="I109" t="str">
        <f t="shared" si="7"/>
        <v>✅ OK</v>
      </c>
      <c r="J109" s="6">
        <f>AVERAGE($F$2:F109)</f>
        <v>98.24074074074079</v>
      </c>
      <c r="K109">
        <f>IF(COUNTA($F$2:F109)&lt;20,"",_xlfn.STDEV.P($F$2:F109))</f>
        <v>0.77625967364844117</v>
      </c>
      <c r="L109">
        <f t="shared" si="8"/>
        <v>0.86</v>
      </c>
      <c r="M109">
        <f t="shared" si="9"/>
        <v>0.76</v>
      </c>
      <c r="N109" t="str">
        <f t="shared" si="10"/>
        <v>❌ NO CAPAZ — Requiere mejora</v>
      </c>
      <c r="O109">
        <f t="shared" si="11"/>
        <v>-0.24</v>
      </c>
    </row>
    <row r="110" spans="1:15" x14ac:dyDescent="0.3">
      <c r="A110" t="str">
        <f t="shared" si="6"/>
        <v>MED-109</v>
      </c>
      <c r="B110" t="str">
        <f>INDEX(Lotes!$A$2:$A$53,INT((ROW()-2)/5)+1)</f>
        <v>RETEX-2024-022</v>
      </c>
      <c r="C110" s="2">
        <f>INDEX(Lotes!$B$2:$B$53,INT((ROW()-2)/5)+1)</f>
        <v>46242</v>
      </c>
      <c r="D110">
        <f>INDEX(Lotes!$C$2:$C$53,INT((ROW()-2)/5)+1)</f>
        <v>32</v>
      </c>
      <c r="E110" t="str">
        <f>INDEX(Lotes!$E$2:$E$53,INT((ROW()-2)/5)+1)</f>
        <v>Algodón</v>
      </c>
      <c r="F110">
        <v>98</v>
      </c>
      <c r="G110">
        <f>96</f>
        <v>96</v>
      </c>
      <c r="H110">
        <f>100</f>
        <v>100</v>
      </c>
      <c r="I110" t="str">
        <f t="shared" si="7"/>
        <v>✅ OK</v>
      </c>
      <c r="J110" s="6">
        <f>AVERAGE($F$2:F110)</f>
        <v>98.238532110091796</v>
      </c>
      <c r="K110">
        <f>IF(COUNTA($F$2:F110)&lt;20,"",_xlfn.STDEV.P($F$2:F110))</f>
        <v>0.77303147530548755</v>
      </c>
      <c r="L110">
        <f t="shared" si="8"/>
        <v>0.86</v>
      </c>
      <c r="M110">
        <f t="shared" si="9"/>
        <v>0.76</v>
      </c>
      <c r="N110" t="str">
        <f t="shared" si="10"/>
        <v>❌ NO CAPAZ — Requiere mejora</v>
      </c>
      <c r="O110">
        <f t="shared" si="11"/>
        <v>0.51</v>
      </c>
    </row>
    <row r="111" spans="1:15" x14ac:dyDescent="0.3">
      <c r="A111" t="str">
        <f t="shared" si="6"/>
        <v>MED-110</v>
      </c>
      <c r="B111" t="str">
        <f>INDEX(Lotes!$A$2:$A$53,INT((ROW()-2)/5)+1)</f>
        <v>RETEX-2024-022</v>
      </c>
      <c r="C111" s="2">
        <f>INDEX(Lotes!$B$2:$B$53,INT((ROW()-2)/5)+1)</f>
        <v>46242</v>
      </c>
      <c r="D111">
        <f>INDEX(Lotes!$C$2:$C$53,INT((ROW()-2)/5)+1)</f>
        <v>32</v>
      </c>
      <c r="E111" t="str">
        <f>INDEX(Lotes!$E$2:$E$53,INT((ROW()-2)/5)+1)</f>
        <v>Algodón</v>
      </c>
      <c r="F111">
        <v>98.75</v>
      </c>
      <c r="G111">
        <f>96</f>
        <v>96</v>
      </c>
      <c r="H111">
        <f>100</f>
        <v>100</v>
      </c>
      <c r="I111" t="str">
        <f t="shared" si="7"/>
        <v>✅ OK</v>
      </c>
      <c r="J111" s="6">
        <f>AVERAGE($F$2:F111)</f>
        <v>98.243181818181867</v>
      </c>
      <c r="K111">
        <f>IF(COUNTA($F$2:F111)&lt;20,"",_xlfn.STDEV.P($F$2:F111))</f>
        <v>0.77103935970537574</v>
      </c>
      <c r="L111">
        <f t="shared" si="8"/>
        <v>0.86</v>
      </c>
      <c r="M111">
        <f t="shared" si="9"/>
        <v>0.76</v>
      </c>
      <c r="N111" t="str">
        <f t="shared" si="10"/>
        <v>❌ NO CAPAZ — Requiere mejora</v>
      </c>
      <c r="O111">
        <f t="shared" si="11"/>
        <v>1.1000000000000001</v>
      </c>
    </row>
    <row r="112" spans="1:15" x14ac:dyDescent="0.3">
      <c r="A112" t="str">
        <f t="shared" si="6"/>
        <v>MED-111</v>
      </c>
      <c r="B112" t="str">
        <f>INDEX(Lotes!$A$2:$A$53,INT((ROW()-2)/5)+1)</f>
        <v>RETEX-2024-023</v>
      </c>
      <c r="C112" s="2">
        <f>INDEX(Lotes!$B$2:$B$53,INT((ROW()-2)/5)+1)</f>
        <v>46249</v>
      </c>
      <c r="D112">
        <f>INDEX(Lotes!$C$2:$C$53,INT((ROW()-2)/5)+1)</f>
        <v>33</v>
      </c>
      <c r="E112" t="str">
        <f>INDEX(Lotes!$E$2:$E$53,INT((ROW()-2)/5)+1)</f>
        <v>Poliéster</v>
      </c>
      <c r="F112">
        <v>99.35</v>
      </c>
      <c r="G112">
        <f>96</f>
        <v>96</v>
      </c>
      <c r="H112">
        <f>100</f>
        <v>100</v>
      </c>
      <c r="I112" t="str">
        <f t="shared" si="7"/>
        <v>✅ OK</v>
      </c>
      <c r="J112" s="6">
        <f>AVERAGE($F$2:F112)</f>
        <v>98.253153153153207</v>
      </c>
      <c r="K112">
        <f>IF(COUNTA($F$2:F112)&lt;20,"",_xlfn.STDEV.P($F$2:F112))</f>
        <v>0.77465014711028457</v>
      </c>
      <c r="L112">
        <f t="shared" si="8"/>
        <v>0.86</v>
      </c>
      <c r="M112">
        <f t="shared" si="9"/>
        <v>0.75</v>
      </c>
      <c r="N112" t="str">
        <f t="shared" si="10"/>
        <v>❌ NO CAPAZ — Requiere mejora</v>
      </c>
      <c r="O112">
        <f t="shared" si="11"/>
        <v>0.5</v>
      </c>
    </row>
    <row r="113" spans="1:15" x14ac:dyDescent="0.3">
      <c r="A113" t="str">
        <f t="shared" si="6"/>
        <v>MED-112</v>
      </c>
      <c r="B113" t="str">
        <f>INDEX(Lotes!$A$2:$A$53,INT((ROW()-2)/5)+1)</f>
        <v>RETEX-2024-023</v>
      </c>
      <c r="C113" s="2">
        <f>INDEX(Lotes!$B$2:$B$53,INT((ROW()-2)/5)+1)</f>
        <v>46249</v>
      </c>
      <c r="D113">
        <f>INDEX(Lotes!$C$2:$C$53,INT((ROW()-2)/5)+1)</f>
        <v>33</v>
      </c>
      <c r="E113" t="str">
        <f>INDEX(Lotes!$E$2:$E$53,INT((ROW()-2)/5)+1)</f>
        <v>Poliéster</v>
      </c>
      <c r="F113">
        <v>98.76</v>
      </c>
      <c r="G113">
        <f>96</f>
        <v>96</v>
      </c>
      <c r="H113">
        <f>100</f>
        <v>100</v>
      </c>
      <c r="I113" t="str">
        <f t="shared" si="7"/>
        <v>✅ OK</v>
      </c>
      <c r="J113" s="6">
        <f>AVERAGE($F$2:F113)</f>
        <v>98.257678571428627</v>
      </c>
      <c r="K113">
        <f>IF(COUNTA($F$2:F113)&lt;20,"",_xlfn.STDEV.P($F$2:F113))</f>
        <v>0.77265657468111848</v>
      </c>
      <c r="L113">
        <f t="shared" si="8"/>
        <v>0.86</v>
      </c>
      <c r="M113">
        <f t="shared" si="9"/>
        <v>0.75</v>
      </c>
      <c r="N113" t="str">
        <f t="shared" si="10"/>
        <v>❌ NO CAPAZ — Requiere mejora</v>
      </c>
      <c r="O113">
        <f t="shared" si="11"/>
        <v>0.76</v>
      </c>
    </row>
    <row r="114" spans="1:15" x14ac:dyDescent="0.3">
      <c r="A114" t="str">
        <f t="shared" si="6"/>
        <v>MED-113</v>
      </c>
      <c r="B114" t="str">
        <f>INDEX(Lotes!$A$2:$A$53,INT((ROW()-2)/5)+1)</f>
        <v>RETEX-2024-023</v>
      </c>
      <c r="C114" s="2">
        <f>INDEX(Lotes!$B$2:$B$53,INT((ROW()-2)/5)+1)</f>
        <v>46249</v>
      </c>
      <c r="D114">
        <f>INDEX(Lotes!$C$2:$C$53,INT((ROW()-2)/5)+1)</f>
        <v>33</v>
      </c>
      <c r="E114" t="str">
        <f>INDEX(Lotes!$E$2:$E$53,INT((ROW()-2)/5)+1)</f>
        <v>Poliéster</v>
      </c>
      <c r="F114">
        <v>99.02</v>
      </c>
      <c r="G114">
        <f>96</f>
        <v>96</v>
      </c>
      <c r="H114">
        <f>100</f>
        <v>100</v>
      </c>
      <c r="I114" t="str">
        <f t="shared" si="7"/>
        <v>✅ OK</v>
      </c>
      <c r="J114" s="6">
        <f>AVERAGE($F$2:F114)</f>
        <v>98.264424778761125</v>
      </c>
      <c r="K114">
        <f>IF(COUNTA($F$2:F114)&lt;20,"",_xlfn.STDEV.P($F$2:F114))</f>
        <v>0.77253626435268063</v>
      </c>
      <c r="L114">
        <f t="shared" si="8"/>
        <v>0.86</v>
      </c>
      <c r="M114">
        <f t="shared" si="9"/>
        <v>0.75</v>
      </c>
      <c r="N114" t="str">
        <f t="shared" si="10"/>
        <v>❌ NO CAPAZ — Requiere mejora</v>
      </c>
      <c r="O114">
        <f t="shared" si="11"/>
        <v>-0.19</v>
      </c>
    </row>
    <row r="115" spans="1:15" x14ac:dyDescent="0.3">
      <c r="A115" t="str">
        <f t="shared" si="6"/>
        <v>MED-114</v>
      </c>
      <c r="B115" t="str">
        <f>INDEX(Lotes!$A$2:$A$53,INT((ROW()-2)/5)+1)</f>
        <v>RETEX-2024-023</v>
      </c>
      <c r="C115" s="2">
        <f>INDEX(Lotes!$B$2:$B$53,INT((ROW()-2)/5)+1)</f>
        <v>46249</v>
      </c>
      <c r="D115">
        <f>INDEX(Lotes!$C$2:$C$53,INT((ROW()-2)/5)+1)</f>
        <v>33</v>
      </c>
      <c r="E115" t="str">
        <f>INDEX(Lotes!$E$2:$E$53,INT((ROW()-2)/5)+1)</f>
        <v>Poliéster</v>
      </c>
      <c r="F115">
        <v>98.07</v>
      </c>
      <c r="G115">
        <f>96</f>
        <v>96</v>
      </c>
      <c r="H115">
        <f>100</f>
        <v>100</v>
      </c>
      <c r="I115" t="str">
        <f t="shared" si="7"/>
        <v>✅ OK</v>
      </c>
      <c r="J115" s="6">
        <f>AVERAGE($F$2:F115)</f>
        <v>98.262719298245671</v>
      </c>
      <c r="K115">
        <f>IF(COUNTA($F$2:F115)&lt;20,"",_xlfn.STDEV.P($F$2:F115))</f>
        <v>0.76935412087788801</v>
      </c>
      <c r="L115">
        <f t="shared" si="8"/>
        <v>0.87</v>
      </c>
      <c r="M115">
        <f t="shared" si="9"/>
        <v>0.75</v>
      </c>
      <c r="N115" t="str">
        <f t="shared" si="10"/>
        <v>❌ NO CAPAZ — Requiere mejora</v>
      </c>
      <c r="O115">
        <f t="shared" si="11"/>
        <v>0.56000000000000005</v>
      </c>
    </row>
    <row r="116" spans="1:15" x14ac:dyDescent="0.3">
      <c r="A116" t="str">
        <f t="shared" si="6"/>
        <v>MED-115</v>
      </c>
      <c r="B116" t="str">
        <f>INDEX(Lotes!$A$2:$A$53,INT((ROW()-2)/5)+1)</f>
        <v>RETEX-2024-023</v>
      </c>
      <c r="C116" s="2">
        <f>INDEX(Lotes!$B$2:$B$53,INT((ROW()-2)/5)+1)</f>
        <v>46249</v>
      </c>
      <c r="D116">
        <f>INDEX(Lotes!$C$2:$C$53,INT((ROW()-2)/5)+1)</f>
        <v>33</v>
      </c>
      <c r="E116" t="str">
        <f>INDEX(Lotes!$E$2:$E$53,INT((ROW()-2)/5)+1)</f>
        <v>Poliéster</v>
      </c>
      <c r="F116">
        <v>98.83</v>
      </c>
      <c r="G116">
        <f>96</f>
        <v>96</v>
      </c>
      <c r="H116">
        <f>100</f>
        <v>100</v>
      </c>
      <c r="I116" t="str">
        <f t="shared" si="7"/>
        <v>✅ OK</v>
      </c>
      <c r="J116" s="6">
        <f>AVERAGE($F$2:F116)</f>
        <v>98.267652173913092</v>
      </c>
      <c r="K116">
        <f>IF(COUNTA($F$2:F116)&lt;20,"",_xlfn.STDEV.P($F$2:F116))</f>
        <v>0.76781035977787526</v>
      </c>
      <c r="L116">
        <f t="shared" si="8"/>
        <v>0.87</v>
      </c>
      <c r="M116">
        <f t="shared" si="9"/>
        <v>0.75</v>
      </c>
      <c r="N116" t="str">
        <f t="shared" si="10"/>
        <v>❌ NO CAPAZ — Requiere mejora</v>
      </c>
      <c r="O116">
        <f t="shared" si="11"/>
        <v>-0.89</v>
      </c>
    </row>
    <row r="117" spans="1:15" x14ac:dyDescent="0.3">
      <c r="A117" t="str">
        <f t="shared" si="6"/>
        <v>MED-116</v>
      </c>
      <c r="B117" t="str">
        <f>INDEX(Lotes!$A$2:$A$53,INT((ROW()-2)/5)+1)</f>
        <v>RETEX-2024-024</v>
      </c>
      <c r="C117" s="2">
        <f>INDEX(Lotes!$B$2:$B$53,INT((ROW()-2)/5)+1)</f>
        <v>46256</v>
      </c>
      <c r="D117">
        <f>INDEX(Lotes!$C$2:$C$53,INT((ROW()-2)/5)+1)</f>
        <v>34</v>
      </c>
      <c r="E117" t="str">
        <f>INDEX(Lotes!$E$2:$E$53,INT((ROW()-2)/5)+1)</f>
        <v>Mezcla</v>
      </c>
      <c r="F117">
        <v>97.37</v>
      </c>
      <c r="G117">
        <f>96</f>
        <v>96</v>
      </c>
      <c r="H117">
        <f>100</f>
        <v>100</v>
      </c>
      <c r="I117" t="str">
        <f t="shared" si="7"/>
        <v>✅ OK</v>
      </c>
      <c r="J117" s="6">
        <f>AVERAGE($F$2:F117)</f>
        <v>98.259913793103507</v>
      </c>
      <c r="K117">
        <f>IF(COUNTA($F$2:F117)&lt;20,"",_xlfn.STDEV.P($F$2:F117))</f>
        <v>0.76898443517010651</v>
      </c>
      <c r="L117">
        <f t="shared" si="8"/>
        <v>0.87</v>
      </c>
      <c r="M117">
        <f t="shared" si="9"/>
        <v>0.75</v>
      </c>
      <c r="N117" t="str">
        <f t="shared" si="10"/>
        <v>❌ NO CAPAZ — Requiere mejora</v>
      </c>
      <c r="O117">
        <f t="shared" si="11"/>
        <v>0.15</v>
      </c>
    </row>
    <row r="118" spans="1:15" x14ac:dyDescent="0.3">
      <c r="A118" t="str">
        <f t="shared" si="6"/>
        <v>MED-117</v>
      </c>
      <c r="B118" t="str">
        <f>INDEX(Lotes!$A$2:$A$53,INT((ROW()-2)/5)+1)</f>
        <v>RETEX-2024-024</v>
      </c>
      <c r="C118" s="2">
        <f>INDEX(Lotes!$B$2:$B$53,INT((ROW()-2)/5)+1)</f>
        <v>46256</v>
      </c>
      <c r="D118">
        <f>INDEX(Lotes!$C$2:$C$53,INT((ROW()-2)/5)+1)</f>
        <v>34</v>
      </c>
      <c r="E118" t="str">
        <f>INDEX(Lotes!$E$2:$E$53,INT((ROW()-2)/5)+1)</f>
        <v>Mezcla</v>
      </c>
      <c r="F118">
        <v>98.41</v>
      </c>
      <c r="G118">
        <f>96</f>
        <v>96</v>
      </c>
      <c r="H118">
        <f>100</f>
        <v>100</v>
      </c>
      <c r="I118" t="str">
        <f t="shared" si="7"/>
        <v>✅ OK</v>
      </c>
      <c r="J118" s="6">
        <f>AVERAGE($F$2:F118)</f>
        <v>98.261196581196643</v>
      </c>
      <c r="K118">
        <f>IF(COUNTA($F$2:F118)&lt;20,"",_xlfn.STDEV.P($F$2:F118))</f>
        <v>0.76581576235322635</v>
      </c>
      <c r="L118">
        <f t="shared" si="8"/>
        <v>0.87</v>
      </c>
      <c r="M118">
        <f t="shared" si="9"/>
        <v>0.76</v>
      </c>
      <c r="N118" t="str">
        <f t="shared" si="10"/>
        <v>❌ NO CAPAZ — Requiere mejora</v>
      </c>
      <c r="O118">
        <f t="shared" si="11"/>
        <v>0.41</v>
      </c>
    </row>
    <row r="119" spans="1:15" x14ac:dyDescent="0.3">
      <c r="A119" t="str">
        <f t="shared" si="6"/>
        <v>MED-118</v>
      </c>
      <c r="B119" t="str">
        <f>INDEX(Lotes!$A$2:$A$53,INT((ROW()-2)/5)+1)</f>
        <v>RETEX-2024-024</v>
      </c>
      <c r="C119" s="2">
        <f>INDEX(Lotes!$B$2:$B$53,INT((ROW()-2)/5)+1)</f>
        <v>46256</v>
      </c>
      <c r="D119">
        <f>INDEX(Lotes!$C$2:$C$53,INT((ROW()-2)/5)+1)</f>
        <v>34</v>
      </c>
      <c r="E119" t="str">
        <f>INDEX(Lotes!$E$2:$E$53,INT((ROW()-2)/5)+1)</f>
        <v>Mezcla</v>
      </c>
      <c r="F119">
        <v>98.67</v>
      </c>
      <c r="G119">
        <f>96</f>
        <v>96</v>
      </c>
      <c r="H119">
        <f>100</f>
        <v>100</v>
      </c>
      <c r="I119" t="str">
        <f t="shared" si="7"/>
        <v>✅ OK</v>
      </c>
      <c r="J119" s="6">
        <f>AVERAGE($F$2:F119)</f>
        <v>98.264661016949205</v>
      </c>
      <c r="K119">
        <f>IF(COUNTA($F$2:F119)&lt;20,"",_xlfn.STDEV.P($F$2:F119))</f>
        <v>0.7634840770690301</v>
      </c>
      <c r="L119">
        <f t="shared" si="8"/>
        <v>0.87</v>
      </c>
      <c r="M119">
        <f t="shared" si="9"/>
        <v>0.76</v>
      </c>
      <c r="N119" t="str">
        <f t="shared" si="10"/>
        <v>❌ NO CAPAZ — Requiere mejora</v>
      </c>
      <c r="O119">
        <f t="shared" si="11"/>
        <v>-0.96</v>
      </c>
    </row>
    <row r="120" spans="1:15" x14ac:dyDescent="0.3">
      <c r="A120" t="str">
        <f t="shared" si="6"/>
        <v>MED-119</v>
      </c>
      <c r="B120" t="str">
        <f>INDEX(Lotes!$A$2:$A$53,INT((ROW()-2)/5)+1)</f>
        <v>RETEX-2024-024</v>
      </c>
      <c r="C120" s="2">
        <f>INDEX(Lotes!$B$2:$B$53,INT((ROW()-2)/5)+1)</f>
        <v>46256</v>
      </c>
      <c r="D120">
        <f>INDEX(Lotes!$C$2:$C$53,INT((ROW()-2)/5)+1)</f>
        <v>34</v>
      </c>
      <c r="E120" t="str">
        <f>INDEX(Lotes!$E$2:$E$53,INT((ROW()-2)/5)+1)</f>
        <v>Mezcla</v>
      </c>
      <c r="F120">
        <v>97.3</v>
      </c>
      <c r="G120">
        <f>96</f>
        <v>96</v>
      </c>
      <c r="H120">
        <f>100</f>
        <v>100</v>
      </c>
      <c r="I120" t="str">
        <f t="shared" si="7"/>
        <v>✅ OK</v>
      </c>
      <c r="J120" s="6">
        <f>AVERAGE($F$2:F120)</f>
        <v>98.256554621848792</v>
      </c>
      <c r="K120">
        <f>IF(COUNTA($F$2:F120)&lt;20,"",_xlfn.STDEV.P($F$2:F120))</f>
        <v>0.76535204946579671</v>
      </c>
      <c r="L120">
        <f t="shared" si="8"/>
        <v>0.87</v>
      </c>
      <c r="M120">
        <f t="shared" si="9"/>
        <v>0.76</v>
      </c>
      <c r="N120" t="str">
        <f t="shared" si="10"/>
        <v>❌ NO CAPAZ — Requiere mejora</v>
      </c>
      <c r="O120">
        <f t="shared" si="11"/>
        <v>-0.73</v>
      </c>
    </row>
    <row r="121" spans="1:15" x14ac:dyDescent="0.3">
      <c r="A121" t="str">
        <f t="shared" si="6"/>
        <v>MED-120</v>
      </c>
      <c r="B121" t="str">
        <f>INDEX(Lotes!$A$2:$A$53,INT((ROW()-2)/5)+1)</f>
        <v>RETEX-2024-024</v>
      </c>
      <c r="C121" s="2">
        <f>INDEX(Lotes!$B$2:$B$53,INT((ROW()-2)/5)+1)</f>
        <v>46256</v>
      </c>
      <c r="D121">
        <f>INDEX(Lotes!$C$2:$C$53,INT((ROW()-2)/5)+1)</f>
        <v>34</v>
      </c>
      <c r="E121" t="str">
        <f>INDEX(Lotes!$E$2:$E$53,INT((ROW()-2)/5)+1)</f>
        <v>Mezcla</v>
      </c>
      <c r="F121">
        <v>97.52</v>
      </c>
      <c r="G121">
        <f>96</f>
        <v>96</v>
      </c>
      <c r="H121">
        <f>100</f>
        <v>100</v>
      </c>
      <c r="I121" t="str">
        <f t="shared" si="7"/>
        <v>✅ OK</v>
      </c>
      <c r="J121" s="6">
        <f>AVERAGE($F$2:F121)</f>
        <v>98.250416666666723</v>
      </c>
      <c r="K121">
        <f>IF(COUNTA($F$2:F121)&lt;20,"",_xlfn.STDEV.P($F$2:F121))</f>
        <v>0.76509192893548561</v>
      </c>
      <c r="L121">
        <f t="shared" si="8"/>
        <v>0.87</v>
      </c>
      <c r="M121">
        <f t="shared" si="9"/>
        <v>0.76</v>
      </c>
      <c r="N121" t="str">
        <f t="shared" si="10"/>
        <v>❌ NO CAPAZ — Requiere mejora</v>
      </c>
      <c r="O121">
        <f t="shared" si="11"/>
        <v>-0.13</v>
      </c>
    </row>
    <row r="122" spans="1:15" x14ac:dyDescent="0.3">
      <c r="A122" t="str">
        <f t="shared" si="6"/>
        <v>MED-121</v>
      </c>
      <c r="B122" t="str">
        <f>INDEX(Lotes!$A$2:$A$53,INT((ROW()-2)/5)+1)</f>
        <v>RETEX-2024-025</v>
      </c>
      <c r="C122" s="2">
        <f>INDEX(Lotes!$B$2:$B$53,INT((ROW()-2)/5)+1)</f>
        <v>46263</v>
      </c>
      <c r="D122">
        <f>INDEX(Lotes!$C$2:$C$53,INT((ROW()-2)/5)+1)</f>
        <v>35</v>
      </c>
      <c r="E122" t="str">
        <f>INDEX(Lotes!$E$2:$E$53,INT((ROW()-2)/5)+1)</f>
        <v>Algodón</v>
      </c>
      <c r="F122">
        <v>98.12</v>
      </c>
      <c r="G122">
        <f>96</f>
        <v>96</v>
      </c>
      <c r="H122">
        <f>100</f>
        <v>100</v>
      </c>
      <c r="I122" t="str">
        <f t="shared" si="7"/>
        <v>✅ OK</v>
      </c>
      <c r="J122" s="6">
        <f>AVERAGE($F$2:F122)</f>
        <v>98.249338842975263</v>
      </c>
      <c r="K122">
        <f>IF(COUNTA($F$2:F122)&lt;20,"",_xlfn.STDEV.P($F$2:F122))</f>
        <v>0.76201530920738714</v>
      </c>
      <c r="L122">
        <f t="shared" si="8"/>
        <v>0.87</v>
      </c>
      <c r="M122">
        <f t="shared" si="9"/>
        <v>0.77</v>
      </c>
      <c r="N122" t="str">
        <f t="shared" si="10"/>
        <v>❌ NO CAPAZ — Requiere mejora</v>
      </c>
      <c r="O122">
        <f t="shared" si="11"/>
        <v>-0.17</v>
      </c>
    </row>
    <row r="123" spans="1:15" x14ac:dyDescent="0.3">
      <c r="A123" t="str">
        <f t="shared" si="6"/>
        <v>MED-122</v>
      </c>
      <c r="B123" t="str">
        <f>INDEX(Lotes!$A$2:$A$53,INT((ROW()-2)/5)+1)</f>
        <v>RETEX-2024-025</v>
      </c>
      <c r="C123" s="2">
        <f>INDEX(Lotes!$B$2:$B$53,INT((ROW()-2)/5)+1)</f>
        <v>46263</v>
      </c>
      <c r="D123">
        <f>INDEX(Lotes!$C$2:$C$53,INT((ROW()-2)/5)+1)</f>
        <v>35</v>
      </c>
      <c r="E123" t="str">
        <f>INDEX(Lotes!$E$2:$E$53,INT((ROW()-2)/5)+1)</f>
        <v>Algodón</v>
      </c>
      <c r="F123">
        <v>98.08</v>
      </c>
      <c r="G123">
        <f>96</f>
        <v>96</v>
      </c>
      <c r="H123">
        <f>100</f>
        <v>100</v>
      </c>
      <c r="I123" t="str">
        <f t="shared" si="7"/>
        <v>✅ OK</v>
      </c>
      <c r="J123" s="6">
        <f>AVERAGE($F$2:F123)</f>
        <v>98.247950819672184</v>
      </c>
      <c r="K123">
        <f>IF(COUNTA($F$2:F123)&lt;20,"",_xlfn.STDEV.P($F$2:F123))</f>
        <v>0.75903944747766361</v>
      </c>
      <c r="L123">
        <f t="shared" si="8"/>
        <v>0.88</v>
      </c>
      <c r="M123">
        <f t="shared" si="9"/>
        <v>0.77</v>
      </c>
      <c r="N123" t="str">
        <f t="shared" si="10"/>
        <v>❌ NO CAPAZ — Requiere mejora</v>
      </c>
      <c r="O123">
        <f t="shared" si="11"/>
        <v>-0.1</v>
      </c>
    </row>
    <row r="124" spans="1:15" x14ac:dyDescent="0.3">
      <c r="A124" t="str">
        <f t="shared" si="6"/>
        <v>MED-123</v>
      </c>
      <c r="B124" t="str">
        <f>INDEX(Lotes!$A$2:$A$53,INT((ROW()-2)/5)+1)</f>
        <v>RETEX-2024-025</v>
      </c>
      <c r="C124" s="2">
        <f>INDEX(Lotes!$B$2:$B$53,INT((ROW()-2)/5)+1)</f>
        <v>46263</v>
      </c>
      <c r="D124">
        <f>INDEX(Lotes!$C$2:$C$53,INT((ROW()-2)/5)+1)</f>
        <v>35</v>
      </c>
      <c r="E124" t="str">
        <f>INDEX(Lotes!$E$2:$E$53,INT((ROW()-2)/5)+1)</f>
        <v>Algodón</v>
      </c>
      <c r="F124">
        <v>98.15</v>
      </c>
      <c r="G124">
        <f>96</f>
        <v>96</v>
      </c>
      <c r="H124">
        <f>100</f>
        <v>100</v>
      </c>
      <c r="I124" t="str">
        <f t="shared" si="7"/>
        <v>✅ OK</v>
      </c>
      <c r="J124" s="6">
        <f>AVERAGE($F$2:F124)</f>
        <v>98.247154471544775</v>
      </c>
      <c r="K124">
        <f>IF(COUNTA($F$2:F124)&lt;20,"",_xlfn.STDEV.P($F$2:F124))</f>
        <v>0.75599879589227792</v>
      </c>
      <c r="L124">
        <f t="shared" si="8"/>
        <v>0.88</v>
      </c>
      <c r="M124">
        <f t="shared" si="9"/>
        <v>0.77</v>
      </c>
      <c r="N124" t="str">
        <f t="shared" si="10"/>
        <v>❌ NO CAPAZ — Requiere mejora</v>
      </c>
      <c r="O124">
        <f t="shared" si="11"/>
        <v>-0.27</v>
      </c>
    </row>
    <row r="125" spans="1:15" x14ac:dyDescent="0.3">
      <c r="A125" t="str">
        <f t="shared" si="6"/>
        <v>MED-124</v>
      </c>
      <c r="B125" t="str">
        <f>INDEX(Lotes!$A$2:$A$53,INT((ROW()-2)/5)+1)</f>
        <v>RETEX-2024-025</v>
      </c>
      <c r="C125" s="2">
        <f>INDEX(Lotes!$B$2:$B$53,INT((ROW()-2)/5)+1)</f>
        <v>46263</v>
      </c>
      <c r="D125">
        <f>INDEX(Lotes!$C$2:$C$53,INT((ROW()-2)/5)+1)</f>
        <v>35</v>
      </c>
      <c r="E125" t="str">
        <f>INDEX(Lotes!$E$2:$E$53,INT((ROW()-2)/5)+1)</f>
        <v>Algodón</v>
      </c>
      <c r="F125">
        <v>97.98</v>
      </c>
      <c r="G125">
        <f>96</f>
        <v>96</v>
      </c>
      <c r="H125">
        <f>100</f>
        <v>100</v>
      </c>
      <c r="I125" t="str">
        <f t="shared" si="7"/>
        <v>✅ OK</v>
      </c>
      <c r="J125" s="6">
        <f>AVERAGE($F$2:F125)</f>
        <v>98.245000000000047</v>
      </c>
      <c r="K125">
        <f>IF(COUNTA($F$2:F125)&lt;20,"",_xlfn.STDEV.P($F$2:F125))</f>
        <v>0.75332328235753832</v>
      </c>
      <c r="L125">
        <f t="shared" si="8"/>
        <v>0.88</v>
      </c>
      <c r="M125">
        <f t="shared" si="9"/>
        <v>0.78</v>
      </c>
      <c r="N125" t="str">
        <f t="shared" si="10"/>
        <v>❌ NO CAPAZ — Requiere mejora</v>
      </c>
      <c r="O125">
        <f t="shared" si="11"/>
        <v>0.27</v>
      </c>
    </row>
    <row r="126" spans="1:15" x14ac:dyDescent="0.3">
      <c r="A126" t="str">
        <f t="shared" si="6"/>
        <v>MED-125</v>
      </c>
      <c r="B126" t="str">
        <f>INDEX(Lotes!$A$2:$A$53,INT((ROW()-2)/5)+1)</f>
        <v>RETEX-2024-025</v>
      </c>
      <c r="C126" s="2">
        <f>INDEX(Lotes!$B$2:$B$53,INT((ROW()-2)/5)+1)</f>
        <v>46263</v>
      </c>
      <c r="D126">
        <f>INDEX(Lotes!$C$2:$C$53,INT((ROW()-2)/5)+1)</f>
        <v>35</v>
      </c>
      <c r="E126" t="str">
        <f>INDEX(Lotes!$E$2:$E$53,INT((ROW()-2)/5)+1)</f>
        <v>Algodón</v>
      </c>
      <c r="F126">
        <v>98.52</v>
      </c>
      <c r="G126">
        <f>96</f>
        <v>96</v>
      </c>
      <c r="H126">
        <f>100</f>
        <v>100</v>
      </c>
      <c r="I126" t="str">
        <f t="shared" si="7"/>
        <v>✅ OK</v>
      </c>
      <c r="J126" s="6">
        <f>AVERAGE($F$2:F126)</f>
        <v>98.247200000000049</v>
      </c>
      <c r="K126">
        <f>IF(COUNTA($F$2:F126)&lt;20,"",_xlfn.STDEV.P($F$2:F126))</f>
        <v>0.75070377646579045</v>
      </c>
      <c r="L126">
        <f t="shared" si="8"/>
        <v>0.89</v>
      </c>
      <c r="M126">
        <f t="shared" si="9"/>
        <v>0.78</v>
      </c>
      <c r="N126" t="str">
        <f t="shared" si="10"/>
        <v>❌ NO CAPAZ — Requiere mejora</v>
      </c>
      <c r="O126">
        <f t="shared" si="11"/>
        <v>0.21</v>
      </c>
    </row>
    <row r="127" spans="1:15" x14ac:dyDescent="0.3">
      <c r="A127" t="str">
        <f t="shared" si="6"/>
        <v>MED-126</v>
      </c>
      <c r="B127" t="str">
        <f>INDEX(Lotes!$A$2:$A$53,INT((ROW()-2)/5)+1)</f>
        <v>RETEX-2024-026</v>
      </c>
      <c r="C127" s="2">
        <f>INDEX(Lotes!$B$2:$B$53,INT((ROW()-2)/5)+1)</f>
        <v>46270</v>
      </c>
      <c r="D127">
        <f>INDEX(Lotes!$C$2:$C$53,INT((ROW()-2)/5)+1)</f>
        <v>36</v>
      </c>
      <c r="E127" t="str">
        <f>INDEX(Lotes!$E$2:$E$53,INT((ROW()-2)/5)+1)</f>
        <v>Poliéster</v>
      </c>
      <c r="F127">
        <v>98.46</v>
      </c>
      <c r="G127">
        <f>96</f>
        <v>96</v>
      </c>
      <c r="H127">
        <f>100</f>
        <v>100</v>
      </c>
      <c r="I127" t="str">
        <f t="shared" si="7"/>
        <v>✅ OK</v>
      </c>
      <c r="J127" s="6">
        <f>AVERAGE($F$2:F127)</f>
        <v>98.248888888888942</v>
      </c>
      <c r="K127">
        <f>IF(COUNTA($F$2:F127)&lt;20,"",_xlfn.STDEV.P($F$2:F127))</f>
        <v>0.74795724160767929</v>
      </c>
      <c r="L127">
        <f t="shared" si="8"/>
        <v>0.89</v>
      </c>
      <c r="M127">
        <f t="shared" si="9"/>
        <v>0.78</v>
      </c>
      <c r="N127" t="str">
        <f t="shared" si="10"/>
        <v>❌ NO CAPAZ — Requiere mejora</v>
      </c>
      <c r="O127">
        <f t="shared" si="11"/>
        <v>0.45</v>
      </c>
    </row>
    <row r="128" spans="1:15" x14ac:dyDescent="0.3">
      <c r="A128" t="str">
        <f t="shared" si="6"/>
        <v>MED-127</v>
      </c>
      <c r="B128" t="str">
        <f>INDEX(Lotes!$A$2:$A$53,INT((ROW()-2)/5)+1)</f>
        <v>RETEX-2024-026</v>
      </c>
      <c r="C128" s="2">
        <f>INDEX(Lotes!$B$2:$B$53,INT((ROW()-2)/5)+1)</f>
        <v>46270</v>
      </c>
      <c r="D128">
        <f>INDEX(Lotes!$C$2:$C$53,INT((ROW()-2)/5)+1)</f>
        <v>36</v>
      </c>
      <c r="E128" t="str">
        <f>INDEX(Lotes!$E$2:$E$53,INT((ROW()-2)/5)+1)</f>
        <v>Poliéster</v>
      </c>
      <c r="F128">
        <v>98.7</v>
      </c>
      <c r="G128">
        <f>96</f>
        <v>96</v>
      </c>
      <c r="H128">
        <f>100</f>
        <v>100</v>
      </c>
      <c r="I128" t="str">
        <f t="shared" si="7"/>
        <v>✅ OK</v>
      </c>
      <c r="J128" s="6">
        <f>AVERAGE($F$2:F128)</f>
        <v>98.25244094488194</v>
      </c>
      <c r="K128">
        <f>IF(COUNTA($F$2:F128)&lt;20,"",_xlfn.STDEV.P($F$2:F128))</f>
        <v>0.74607288548070172</v>
      </c>
      <c r="L128">
        <f t="shared" si="8"/>
        <v>0.89</v>
      </c>
      <c r="M128">
        <f t="shared" si="9"/>
        <v>0.78</v>
      </c>
      <c r="N128" t="str">
        <f t="shared" si="10"/>
        <v>❌ NO CAPAZ — Requiere mejora</v>
      </c>
      <c r="O128">
        <f t="shared" si="11"/>
        <v>0.68</v>
      </c>
    </row>
    <row r="129" spans="1:15" x14ac:dyDescent="0.3">
      <c r="A129" t="str">
        <f t="shared" si="6"/>
        <v>MED-128</v>
      </c>
      <c r="B129" t="str">
        <f>INDEX(Lotes!$A$2:$A$53,INT((ROW()-2)/5)+1)</f>
        <v>RETEX-2024-026</v>
      </c>
      <c r="C129" s="2">
        <f>INDEX(Lotes!$B$2:$B$53,INT((ROW()-2)/5)+1)</f>
        <v>46270</v>
      </c>
      <c r="D129">
        <f>INDEX(Lotes!$C$2:$C$53,INT((ROW()-2)/5)+1)</f>
        <v>36</v>
      </c>
      <c r="E129" t="str">
        <f>INDEX(Lotes!$E$2:$E$53,INT((ROW()-2)/5)+1)</f>
        <v>Poliéster</v>
      </c>
      <c r="F129">
        <v>98.94</v>
      </c>
      <c r="G129">
        <f>96</f>
        <v>96</v>
      </c>
      <c r="H129">
        <f>100</f>
        <v>100</v>
      </c>
      <c r="I129" t="str">
        <f t="shared" si="7"/>
        <v>✅ OK</v>
      </c>
      <c r="J129" s="6">
        <f>AVERAGE($F$2:F129)</f>
        <v>98.257812500000057</v>
      </c>
      <c r="K129">
        <f>IF(COUNTA($F$2:F129)&lt;20,"",_xlfn.STDEV.P($F$2:F129))</f>
        <v>0.74561419470376855</v>
      </c>
      <c r="L129">
        <f t="shared" si="8"/>
        <v>0.89</v>
      </c>
      <c r="M129">
        <f t="shared" si="9"/>
        <v>0.78</v>
      </c>
      <c r="N129" t="str">
        <f t="shared" si="10"/>
        <v>❌ NO CAPAZ — Requiere mejora</v>
      </c>
      <c r="O129">
        <f t="shared" si="11"/>
        <v>0.5</v>
      </c>
    </row>
    <row r="130" spans="1:15" x14ac:dyDescent="0.3">
      <c r="A130" t="str">
        <f t="shared" si="6"/>
        <v>MED-129</v>
      </c>
      <c r="B130" t="str">
        <f>INDEX(Lotes!$A$2:$A$53,INT((ROW()-2)/5)+1)</f>
        <v>RETEX-2024-026</v>
      </c>
      <c r="C130" s="2">
        <f>INDEX(Lotes!$B$2:$B$53,INT((ROW()-2)/5)+1)</f>
        <v>46270</v>
      </c>
      <c r="D130">
        <f>INDEX(Lotes!$C$2:$C$53,INT((ROW()-2)/5)+1)</f>
        <v>36</v>
      </c>
      <c r="E130" t="str">
        <f>INDEX(Lotes!$E$2:$E$53,INT((ROW()-2)/5)+1)</f>
        <v>Poliéster</v>
      </c>
      <c r="F130">
        <v>98.76</v>
      </c>
      <c r="G130">
        <f>96</f>
        <v>96</v>
      </c>
      <c r="H130">
        <f>100</f>
        <v>100</v>
      </c>
      <c r="I130" t="str">
        <f t="shared" si="7"/>
        <v>✅ OK</v>
      </c>
      <c r="J130" s="6">
        <f>AVERAGE($F$2:F130)</f>
        <v>98.261705426356642</v>
      </c>
      <c r="K130">
        <f>IF(COUNTA($F$2:F130)&lt;20,"",_xlfn.STDEV.P($F$2:F130))</f>
        <v>0.74402334300194817</v>
      </c>
      <c r="L130">
        <f t="shared" si="8"/>
        <v>0.9</v>
      </c>
      <c r="M130">
        <f t="shared" si="9"/>
        <v>0.78</v>
      </c>
      <c r="N130" t="str">
        <f t="shared" si="10"/>
        <v>❌ NO CAPAZ — Requiere mejora</v>
      </c>
      <c r="O130">
        <f t="shared" si="11"/>
        <v>0.9</v>
      </c>
    </row>
    <row r="131" spans="1:15" x14ac:dyDescent="0.3">
      <c r="A131" t="str">
        <f t="shared" ref="A131:A194" si="12">"MED-"&amp;TEXT(ROW()-1,"000")</f>
        <v>MED-130</v>
      </c>
      <c r="B131" t="str">
        <f>INDEX(Lotes!$A$2:$A$53,INT((ROW()-2)/5)+1)</f>
        <v>RETEX-2024-026</v>
      </c>
      <c r="C131" s="2">
        <f>INDEX(Lotes!$B$2:$B$53,INT((ROW()-2)/5)+1)</f>
        <v>46270</v>
      </c>
      <c r="D131">
        <f>INDEX(Lotes!$C$2:$C$53,INT((ROW()-2)/5)+1)</f>
        <v>36</v>
      </c>
      <c r="E131" t="str">
        <f>INDEX(Lotes!$E$2:$E$53,INT((ROW()-2)/5)+1)</f>
        <v>Poliéster</v>
      </c>
      <c r="F131">
        <v>99.17</v>
      </c>
      <c r="G131">
        <f>96</f>
        <v>96</v>
      </c>
      <c r="H131">
        <f>100</f>
        <v>100</v>
      </c>
      <c r="I131" t="str">
        <f t="shared" ref="I131:I194" si="13">IF(F131&lt;G131,"❌ NOK - Bajo límite",IF(F131&gt;H131,"❌ NOK - Sobre límite","✅ OK"))</f>
        <v>✅ OK</v>
      </c>
      <c r="J131" s="6">
        <f>AVERAGE($F$2:F131)</f>
        <v>98.268692307692362</v>
      </c>
      <c r="K131">
        <f>IF(COUNTA($F$2:F131)&lt;20,"",_xlfn.STDEV.P($F$2:F131))</f>
        <v>0.7453923989432456</v>
      </c>
      <c r="L131">
        <f t="shared" ref="L131:L194" si="14">IF(K131="","",ROUND((H131-G131)/(6*K131),2))</f>
        <v>0.89</v>
      </c>
      <c r="M131">
        <f t="shared" ref="M131:M194" si="15">IF(K131="","",ROUND(MIN((H131-J131)/(3*K131),(J131-G131)/(3*K131)),2))</f>
        <v>0.77</v>
      </c>
      <c r="N131" t="str">
        <f t="shared" ref="N131:N194" si="16">IF(M131="","⏳ Acumulando datos",
    IF(M131&gt;=1.33,"✅ CAPAZ",
    IF(M131&gt;=1,"⚠️ MARGINAL",
    IF(M131&gt;=0.67,"❌ NO CAPAZ — Requiere mejora",
    "🚨 CRÍTICO — Acción inmediata"))))</f>
        <v>❌ NO CAPAZ — Requiere mejora</v>
      </c>
      <c r="O131">
        <f t="shared" ref="O131:O194" si="17">IF(J132="","",ROUND(F132-J132,2))</f>
        <v>-0.81</v>
      </c>
    </row>
    <row r="132" spans="1:15" x14ac:dyDescent="0.3">
      <c r="A132" t="str">
        <f t="shared" si="12"/>
        <v>MED-131</v>
      </c>
      <c r="B132" t="str">
        <f>INDEX(Lotes!$A$2:$A$53,INT((ROW()-2)/5)+1)</f>
        <v>RETEX-2024-027</v>
      </c>
      <c r="C132" s="2">
        <f>INDEX(Lotes!$B$2:$B$53,INT((ROW()-2)/5)+1)</f>
        <v>46277</v>
      </c>
      <c r="D132">
        <f>INDEX(Lotes!$C$2:$C$53,INT((ROW()-2)/5)+1)</f>
        <v>37</v>
      </c>
      <c r="E132" t="str">
        <f>INDEX(Lotes!$E$2:$E$53,INT((ROW()-2)/5)+1)</f>
        <v>Mezcla</v>
      </c>
      <c r="F132">
        <v>97.45</v>
      </c>
      <c r="G132">
        <f>96</f>
        <v>96</v>
      </c>
      <c r="H132">
        <f>100</f>
        <v>100</v>
      </c>
      <c r="I132" t="str">
        <f t="shared" si="13"/>
        <v>✅ OK</v>
      </c>
      <c r="J132" s="6">
        <f>AVERAGE($F$2:F132)</f>
        <v>98.262442748091672</v>
      </c>
      <c r="K132">
        <f>IF(COUNTA($F$2:F132)&lt;20,"",_xlfn.STDEV.P($F$2:F132))</f>
        <v>0.74595304234161208</v>
      </c>
      <c r="L132">
        <f t="shared" si="14"/>
        <v>0.89</v>
      </c>
      <c r="M132">
        <f t="shared" si="15"/>
        <v>0.78</v>
      </c>
      <c r="N132" t="str">
        <f t="shared" si="16"/>
        <v>❌ NO CAPAZ — Requiere mejora</v>
      </c>
      <c r="O132">
        <f t="shared" si="17"/>
        <v>0.08</v>
      </c>
    </row>
    <row r="133" spans="1:15" x14ac:dyDescent="0.3">
      <c r="A133" t="str">
        <f t="shared" si="12"/>
        <v>MED-132</v>
      </c>
      <c r="B133" t="str">
        <f>INDEX(Lotes!$A$2:$A$53,INT((ROW()-2)/5)+1)</f>
        <v>RETEX-2024-027</v>
      </c>
      <c r="C133" s="2">
        <f>INDEX(Lotes!$B$2:$B$53,INT((ROW()-2)/5)+1)</f>
        <v>46277</v>
      </c>
      <c r="D133">
        <f>INDEX(Lotes!$C$2:$C$53,INT((ROW()-2)/5)+1)</f>
        <v>37</v>
      </c>
      <c r="E133" t="str">
        <f>INDEX(Lotes!$E$2:$E$53,INT((ROW()-2)/5)+1)</f>
        <v>Mezcla</v>
      </c>
      <c r="F133">
        <v>98.34</v>
      </c>
      <c r="G133">
        <f>96</f>
        <v>96</v>
      </c>
      <c r="H133">
        <f>100</f>
        <v>100</v>
      </c>
      <c r="I133" t="str">
        <f t="shared" si="13"/>
        <v>✅ OK</v>
      </c>
      <c r="J133" s="6">
        <f>AVERAGE($F$2:F133)</f>
        <v>98.263030303030362</v>
      </c>
      <c r="K133">
        <f>IF(COUNTA($F$2:F133)&lt;20,"",_xlfn.STDEV.P($F$2:F133))</f>
        <v>0.74315251849697272</v>
      </c>
      <c r="L133">
        <f t="shared" si="14"/>
        <v>0.9</v>
      </c>
      <c r="M133">
        <f t="shared" si="15"/>
        <v>0.78</v>
      </c>
      <c r="N133" t="str">
        <f t="shared" si="16"/>
        <v>❌ NO CAPAZ — Requiere mejora</v>
      </c>
      <c r="O133">
        <f t="shared" si="17"/>
        <v>-1.94</v>
      </c>
    </row>
    <row r="134" spans="1:15" x14ac:dyDescent="0.3">
      <c r="A134" t="str">
        <f t="shared" si="12"/>
        <v>MED-133</v>
      </c>
      <c r="B134" t="str">
        <f>INDEX(Lotes!$A$2:$A$53,INT((ROW()-2)/5)+1)</f>
        <v>RETEX-2024-027</v>
      </c>
      <c r="C134" s="2">
        <f>INDEX(Lotes!$B$2:$B$53,INT((ROW()-2)/5)+1)</f>
        <v>46277</v>
      </c>
      <c r="D134">
        <f>INDEX(Lotes!$C$2:$C$53,INT((ROW()-2)/5)+1)</f>
        <v>37</v>
      </c>
      <c r="E134" t="str">
        <f>INDEX(Lotes!$E$2:$E$53,INT((ROW()-2)/5)+1)</f>
        <v>Mezcla</v>
      </c>
      <c r="F134">
        <v>96.31</v>
      </c>
      <c r="G134">
        <f>96</f>
        <v>96</v>
      </c>
      <c r="H134">
        <f>100</f>
        <v>100</v>
      </c>
      <c r="I134" t="str">
        <f t="shared" si="13"/>
        <v>✅ OK</v>
      </c>
      <c r="J134" s="6">
        <f>AVERAGE($F$2:F134)</f>
        <v>98.248345864661715</v>
      </c>
      <c r="K134">
        <f>IF(COUNTA($F$2:F134)&lt;20,"",_xlfn.STDEV.P($F$2:F134))</f>
        <v>0.75933308733420335</v>
      </c>
      <c r="L134">
        <f t="shared" si="14"/>
        <v>0.88</v>
      </c>
      <c r="M134">
        <f t="shared" si="15"/>
        <v>0.77</v>
      </c>
      <c r="N134" t="str">
        <f t="shared" si="16"/>
        <v>❌ NO CAPAZ — Requiere mejora</v>
      </c>
      <c r="O134">
        <f t="shared" si="17"/>
        <v>-0.28000000000000003</v>
      </c>
    </row>
    <row r="135" spans="1:15" x14ac:dyDescent="0.3">
      <c r="A135" t="str">
        <f t="shared" si="12"/>
        <v>MED-134</v>
      </c>
      <c r="B135" t="str">
        <f>INDEX(Lotes!$A$2:$A$53,INT((ROW()-2)/5)+1)</f>
        <v>RETEX-2024-027</v>
      </c>
      <c r="C135" s="2">
        <f>INDEX(Lotes!$B$2:$B$53,INT((ROW()-2)/5)+1)</f>
        <v>46277</v>
      </c>
      <c r="D135">
        <f>INDEX(Lotes!$C$2:$C$53,INT((ROW()-2)/5)+1)</f>
        <v>37</v>
      </c>
      <c r="E135" t="str">
        <f>INDEX(Lotes!$E$2:$E$53,INT((ROW()-2)/5)+1)</f>
        <v>Mezcla</v>
      </c>
      <c r="F135">
        <v>97.97</v>
      </c>
      <c r="G135">
        <f>96</f>
        <v>96</v>
      </c>
      <c r="H135">
        <f>100</f>
        <v>100</v>
      </c>
      <c r="I135" t="str">
        <f t="shared" si="13"/>
        <v>✅ OK</v>
      </c>
      <c r="J135" s="6">
        <f>AVERAGE($F$2:F135)</f>
        <v>98.246268656716467</v>
      </c>
      <c r="K135">
        <f>IF(COUNTA($F$2:F135)&lt;20,"",_xlfn.STDEV.P($F$2:F135))</f>
        <v>0.75687364788869782</v>
      </c>
      <c r="L135">
        <f t="shared" si="14"/>
        <v>0.88</v>
      </c>
      <c r="M135">
        <f t="shared" si="15"/>
        <v>0.77</v>
      </c>
      <c r="N135" t="str">
        <f t="shared" si="16"/>
        <v>❌ NO CAPAZ — Requiere mejora</v>
      </c>
      <c r="O135">
        <f t="shared" si="17"/>
        <v>-0.21</v>
      </c>
    </row>
    <row r="136" spans="1:15" x14ac:dyDescent="0.3">
      <c r="A136" t="str">
        <f t="shared" si="12"/>
        <v>MED-135</v>
      </c>
      <c r="B136" t="str">
        <f>INDEX(Lotes!$A$2:$A$53,INT((ROW()-2)/5)+1)</f>
        <v>RETEX-2024-027</v>
      </c>
      <c r="C136" s="2">
        <f>INDEX(Lotes!$B$2:$B$53,INT((ROW()-2)/5)+1)</f>
        <v>46277</v>
      </c>
      <c r="D136">
        <f>INDEX(Lotes!$C$2:$C$53,INT((ROW()-2)/5)+1)</f>
        <v>37</v>
      </c>
      <c r="E136" t="str">
        <f>INDEX(Lotes!$E$2:$E$53,INT((ROW()-2)/5)+1)</f>
        <v>Mezcla</v>
      </c>
      <c r="F136">
        <v>98.03</v>
      </c>
      <c r="G136">
        <f>96</f>
        <v>96</v>
      </c>
      <c r="H136">
        <f>100</f>
        <v>100</v>
      </c>
      <c r="I136" t="str">
        <f t="shared" si="13"/>
        <v>✅ OK</v>
      </c>
      <c r="J136" s="6">
        <f>AVERAGE($F$2:F136)</f>
        <v>98.244666666666731</v>
      </c>
      <c r="K136">
        <f>IF(COUNTA($F$2:F136)&lt;20,"",_xlfn.STDEV.P($F$2:F136))</f>
        <v>0.75429319380610971</v>
      </c>
      <c r="L136">
        <f t="shared" si="14"/>
        <v>0.88</v>
      </c>
      <c r="M136">
        <f t="shared" si="15"/>
        <v>0.78</v>
      </c>
      <c r="N136" t="str">
        <f t="shared" si="16"/>
        <v>❌ NO CAPAZ — Requiere mejora</v>
      </c>
      <c r="O136">
        <f t="shared" si="17"/>
        <v>0.14000000000000001</v>
      </c>
    </row>
    <row r="137" spans="1:15" x14ac:dyDescent="0.3">
      <c r="A137" t="str">
        <f t="shared" si="12"/>
        <v>MED-136</v>
      </c>
      <c r="B137" t="str">
        <f>INDEX(Lotes!$A$2:$A$53,INT((ROW()-2)/5)+1)</f>
        <v>RETEX-2024-028</v>
      </c>
      <c r="C137" s="2">
        <f>INDEX(Lotes!$B$2:$B$53,INT((ROW()-2)/5)+1)</f>
        <v>46284</v>
      </c>
      <c r="D137">
        <f>INDEX(Lotes!$C$2:$C$53,INT((ROW()-2)/5)+1)</f>
        <v>38</v>
      </c>
      <c r="E137" t="str">
        <f>INDEX(Lotes!$E$2:$E$53,INT((ROW()-2)/5)+1)</f>
        <v>Algodón</v>
      </c>
      <c r="F137">
        <v>98.39</v>
      </c>
      <c r="G137">
        <f>96</f>
        <v>96</v>
      </c>
      <c r="H137">
        <f>100</f>
        <v>100</v>
      </c>
      <c r="I137" t="str">
        <f t="shared" si="13"/>
        <v>✅ OK</v>
      </c>
      <c r="J137" s="6">
        <f>AVERAGE($F$2:F137)</f>
        <v>98.245735294117708</v>
      </c>
      <c r="K137">
        <f>IF(COUNTA($F$2:F137)&lt;20,"",_xlfn.STDEV.P($F$2:F137))</f>
        <v>0.75161750319378939</v>
      </c>
      <c r="L137">
        <f t="shared" si="14"/>
        <v>0.89</v>
      </c>
      <c r="M137">
        <f t="shared" si="15"/>
        <v>0.78</v>
      </c>
      <c r="N137" t="str">
        <f t="shared" si="16"/>
        <v>❌ NO CAPAZ — Requiere mejora</v>
      </c>
      <c r="O137">
        <f t="shared" si="17"/>
        <v>-0.36</v>
      </c>
    </row>
    <row r="138" spans="1:15" x14ac:dyDescent="0.3">
      <c r="A138" t="str">
        <f t="shared" si="12"/>
        <v>MED-137</v>
      </c>
      <c r="B138" t="str">
        <f>INDEX(Lotes!$A$2:$A$53,INT((ROW()-2)/5)+1)</f>
        <v>RETEX-2024-028</v>
      </c>
      <c r="C138" s="2">
        <f>INDEX(Lotes!$B$2:$B$53,INT((ROW()-2)/5)+1)</f>
        <v>46284</v>
      </c>
      <c r="D138">
        <f>INDEX(Lotes!$C$2:$C$53,INT((ROW()-2)/5)+1)</f>
        <v>38</v>
      </c>
      <c r="E138" t="str">
        <f>INDEX(Lotes!$E$2:$E$53,INT((ROW()-2)/5)+1)</f>
        <v>Algodón</v>
      </c>
      <c r="F138">
        <v>97.88</v>
      </c>
      <c r="G138">
        <f>96</f>
        <v>96</v>
      </c>
      <c r="H138">
        <f>100</f>
        <v>100</v>
      </c>
      <c r="I138" t="str">
        <f t="shared" si="13"/>
        <v>✅ OK</v>
      </c>
      <c r="J138" s="6">
        <f>AVERAGE($F$2:F138)</f>
        <v>98.243065693430708</v>
      </c>
      <c r="K138">
        <f>IF(COUNTA($F$2:F138)&lt;20,"",_xlfn.STDEV.P($F$2:F138))</f>
        <v>0.74951620604869384</v>
      </c>
      <c r="L138">
        <f t="shared" si="14"/>
        <v>0.89</v>
      </c>
      <c r="M138">
        <f t="shared" si="15"/>
        <v>0.78</v>
      </c>
      <c r="N138" t="str">
        <f t="shared" si="16"/>
        <v>❌ NO CAPAZ — Requiere mejora</v>
      </c>
      <c r="O138">
        <f t="shared" si="17"/>
        <v>0.69</v>
      </c>
    </row>
    <row r="139" spans="1:15" x14ac:dyDescent="0.3">
      <c r="A139" t="str">
        <f t="shared" si="12"/>
        <v>MED-138</v>
      </c>
      <c r="B139" t="str">
        <f>INDEX(Lotes!$A$2:$A$53,INT((ROW()-2)/5)+1)</f>
        <v>RETEX-2024-028</v>
      </c>
      <c r="C139" s="2">
        <f>INDEX(Lotes!$B$2:$B$53,INT((ROW()-2)/5)+1)</f>
        <v>46284</v>
      </c>
      <c r="D139">
        <f>INDEX(Lotes!$C$2:$C$53,INT((ROW()-2)/5)+1)</f>
        <v>38</v>
      </c>
      <c r="E139" t="str">
        <f>INDEX(Lotes!$E$2:$E$53,INT((ROW()-2)/5)+1)</f>
        <v>Algodón</v>
      </c>
      <c r="F139">
        <v>98.94</v>
      </c>
      <c r="G139">
        <f>96</f>
        <v>96</v>
      </c>
      <c r="H139">
        <f>100</f>
        <v>100</v>
      </c>
      <c r="I139" t="str">
        <f t="shared" si="13"/>
        <v>✅ OK</v>
      </c>
      <c r="J139" s="6">
        <f>AVERAGE($F$2:F139)</f>
        <v>98.248115942029031</v>
      </c>
      <c r="K139">
        <f>IF(COUNTA($F$2:F139)&lt;20,"",_xlfn.STDEV.P($F$2:F139))</f>
        <v>0.7491314301248635</v>
      </c>
      <c r="L139">
        <f t="shared" si="14"/>
        <v>0.89</v>
      </c>
      <c r="M139">
        <f t="shared" si="15"/>
        <v>0.78</v>
      </c>
      <c r="N139" t="str">
        <f t="shared" si="16"/>
        <v>❌ NO CAPAZ — Requiere mejora</v>
      </c>
      <c r="O139">
        <f t="shared" si="17"/>
        <v>-0.13</v>
      </c>
    </row>
    <row r="140" spans="1:15" x14ac:dyDescent="0.3">
      <c r="A140" t="str">
        <f t="shared" si="12"/>
        <v>MED-139</v>
      </c>
      <c r="B140" t="str">
        <f>INDEX(Lotes!$A$2:$A$53,INT((ROW()-2)/5)+1)</f>
        <v>RETEX-2024-028</v>
      </c>
      <c r="C140" s="2">
        <f>INDEX(Lotes!$B$2:$B$53,INT((ROW()-2)/5)+1)</f>
        <v>46284</v>
      </c>
      <c r="D140">
        <f>INDEX(Lotes!$C$2:$C$53,INT((ROW()-2)/5)+1)</f>
        <v>38</v>
      </c>
      <c r="E140" t="str">
        <f>INDEX(Lotes!$E$2:$E$53,INT((ROW()-2)/5)+1)</f>
        <v>Algodón</v>
      </c>
      <c r="F140">
        <v>98.12</v>
      </c>
      <c r="G140">
        <f>96</f>
        <v>96</v>
      </c>
      <c r="H140">
        <f>100</f>
        <v>100</v>
      </c>
      <c r="I140" t="str">
        <f t="shared" si="13"/>
        <v>✅ OK</v>
      </c>
      <c r="J140" s="6">
        <f>AVERAGE($F$2:F140)</f>
        <v>98.247194244604373</v>
      </c>
      <c r="K140">
        <f>IF(COUNTA($F$2:F140)&lt;20,"",_xlfn.STDEV.P($F$2:F140))</f>
        <v>0.74651037450758195</v>
      </c>
      <c r="L140">
        <f t="shared" si="14"/>
        <v>0.89</v>
      </c>
      <c r="M140">
        <f t="shared" si="15"/>
        <v>0.78</v>
      </c>
      <c r="N140" t="str">
        <f t="shared" si="16"/>
        <v>❌ NO CAPAZ — Requiere mejora</v>
      </c>
      <c r="O140">
        <f t="shared" si="17"/>
        <v>0.8</v>
      </c>
    </row>
    <row r="141" spans="1:15" x14ac:dyDescent="0.3">
      <c r="A141" t="str">
        <f t="shared" si="12"/>
        <v>MED-140</v>
      </c>
      <c r="B141" t="str">
        <f>INDEX(Lotes!$A$2:$A$53,INT((ROW()-2)/5)+1)</f>
        <v>RETEX-2024-028</v>
      </c>
      <c r="C141" s="2">
        <f>INDEX(Lotes!$B$2:$B$53,INT((ROW()-2)/5)+1)</f>
        <v>46284</v>
      </c>
      <c r="D141">
        <f>INDEX(Lotes!$C$2:$C$53,INT((ROW()-2)/5)+1)</f>
        <v>38</v>
      </c>
      <c r="E141" t="str">
        <f>INDEX(Lotes!$E$2:$E$53,INT((ROW()-2)/5)+1)</f>
        <v>Algodón</v>
      </c>
      <c r="F141">
        <v>99.05</v>
      </c>
      <c r="G141">
        <f>96</f>
        <v>96</v>
      </c>
      <c r="H141">
        <f>100</f>
        <v>100</v>
      </c>
      <c r="I141" t="str">
        <f t="shared" si="13"/>
        <v>✅ OK</v>
      </c>
      <c r="J141" s="6">
        <f>AVERAGE($F$2:F141)</f>
        <v>98.252928571428626</v>
      </c>
      <c r="K141">
        <f>IF(COUNTA($F$2:F141)&lt;20,"",_xlfn.STDEV.P($F$2:F141))</f>
        <v>0.74690551747916267</v>
      </c>
      <c r="L141">
        <f t="shared" si="14"/>
        <v>0.89</v>
      </c>
      <c r="M141">
        <f t="shared" si="15"/>
        <v>0.78</v>
      </c>
      <c r="N141" t="str">
        <f t="shared" si="16"/>
        <v>❌ NO CAPAZ — Requiere mejora</v>
      </c>
      <c r="O141">
        <f t="shared" si="17"/>
        <v>0.38</v>
      </c>
    </row>
    <row r="142" spans="1:15" x14ac:dyDescent="0.3">
      <c r="A142" t="str">
        <f t="shared" si="12"/>
        <v>MED-141</v>
      </c>
      <c r="B142" t="str">
        <f>INDEX(Lotes!$A$2:$A$53,INT((ROW()-2)/5)+1)</f>
        <v>RETEX-2024-029</v>
      </c>
      <c r="C142" s="2">
        <f>INDEX(Lotes!$B$2:$B$53,INT((ROW()-2)/5)+1)</f>
        <v>46291</v>
      </c>
      <c r="D142">
        <f>INDEX(Lotes!$C$2:$C$53,INT((ROW()-2)/5)+1)</f>
        <v>39</v>
      </c>
      <c r="E142" t="str">
        <f>INDEX(Lotes!$E$2:$E$53,INT((ROW()-2)/5)+1)</f>
        <v>Poliéster</v>
      </c>
      <c r="F142">
        <v>98.64</v>
      </c>
      <c r="G142">
        <f>96</f>
        <v>96</v>
      </c>
      <c r="H142">
        <f>100</f>
        <v>100</v>
      </c>
      <c r="I142" t="str">
        <f t="shared" si="13"/>
        <v>✅ OK</v>
      </c>
      <c r="J142" s="6">
        <f>AVERAGE($F$2:F142)</f>
        <v>98.255673758865299</v>
      </c>
      <c r="K142">
        <f>IF(COUNTA($F$2:F142)&lt;20,"",_xlfn.STDEV.P($F$2:F142))</f>
        <v>0.74496066340486877</v>
      </c>
      <c r="L142">
        <f t="shared" si="14"/>
        <v>0.89</v>
      </c>
      <c r="M142">
        <f t="shared" si="15"/>
        <v>0.78</v>
      </c>
      <c r="N142" t="str">
        <f t="shared" si="16"/>
        <v>❌ NO CAPAZ — Requiere mejora</v>
      </c>
      <c r="O142">
        <f t="shared" si="17"/>
        <v>0.31</v>
      </c>
    </row>
    <row r="143" spans="1:15" x14ac:dyDescent="0.3">
      <c r="A143" t="str">
        <f t="shared" si="12"/>
        <v>MED-142</v>
      </c>
      <c r="B143" t="str">
        <f>INDEX(Lotes!$A$2:$A$53,INT((ROW()-2)/5)+1)</f>
        <v>RETEX-2024-029</v>
      </c>
      <c r="C143" s="2">
        <f>INDEX(Lotes!$B$2:$B$53,INT((ROW()-2)/5)+1)</f>
        <v>46291</v>
      </c>
      <c r="D143">
        <f>INDEX(Lotes!$C$2:$C$53,INT((ROW()-2)/5)+1)</f>
        <v>39</v>
      </c>
      <c r="E143" t="str">
        <f>INDEX(Lotes!$E$2:$E$53,INT((ROW()-2)/5)+1)</f>
        <v>Poliéster</v>
      </c>
      <c r="F143">
        <v>98.57</v>
      </c>
      <c r="G143">
        <f>96</f>
        <v>96</v>
      </c>
      <c r="H143">
        <f>100</f>
        <v>100</v>
      </c>
      <c r="I143" t="str">
        <f t="shared" si="13"/>
        <v>✅ OK</v>
      </c>
      <c r="J143" s="6">
        <f>AVERAGE($F$2:F143)</f>
        <v>98.257887323943706</v>
      </c>
      <c r="K143">
        <f>IF(COUNTA($F$2:F143)&lt;20,"",_xlfn.STDEV.P($F$2:F143))</f>
        <v>0.74279812716958371</v>
      </c>
      <c r="L143">
        <f t="shared" si="14"/>
        <v>0.9</v>
      </c>
      <c r="M143">
        <f t="shared" si="15"/>
        <v>0.78</v>
      </c>
      <c r="N143" t="str">
        <f t="shared" si="16"/>
        <v>❌ NO CAPAZ — Requiere mejora</v>
      </c>
      <c r="O143">
        <f t="shared" si="17"/>
        <v>0.81</v>
      </c>
    </row>
    <row r="144" spans="1:15" x14ac:dyDescent="0.3">
      <c r="A144" t="str">
        <f t="shared" si="12"/>
        <v>MED-143</v>
      </c>
      <c r="B144" t="str">
        <f>INDEX(Lotes!$A$2:$A$53,INT((ROW()-2)/5)+1)</f>
        <v>RETEX-2024-029</v>
      </c>
      <c r="C144" s="2">
        <f>INDEX(Lotes!$B$2:$B$53,INT((ROW()-2)/5)+1)</f>
        <v>46291</v>
      </c>
      <c r="D144">
        <f>INDEX(Lotes!$C$2:$C$53,INT((ROW()-2)/5)+1)</f>
        <v>39</v>
      </c>
      <c r="E144" t="str">
        <f>INDEX(Lotes!$E$2:$E$53,INT((ROW()-2)/5)+1)</f>
        <v>Poliéster</v>
      </c>
      <c r="F144">
        <v>99.07</v>
      </c>
      <c r="G144">
        <f>96</f>
        <v>96</v>
      </c>
      <c r="H144">
        <f>100</f>
        <v>100</v>
      </c>
      <c r="I144" t="str">
        <f t="shared" si="13"/>
        <v>✅ OK</v>
      </c>
      <c r="J144" s="6">
        <f>AVERAGE($F$2:F144)</f>
        <v>98.263566433566481</v>
      </c>
      <c r="K144">
        <f>IF(COUNTA($F$2:F144)&lt;20,"",_xlfn.STDEV.P($F$2:F144))</f>
        <v>0.74328359146077805</v>
      </c>
      <c r="L144">
        <f t="shared" si="14"/>
        <v>0.9</v>
      </c>
      <c r="M144">
        <f t="shared" si="15"/>
        <v>0.78</v>
      </c>
      <c r="N144" t="str">
        <f t="shared" si="16"/>
        <v>❌ NO CAPAZ — Requiere mejora</v>
      </c>
      <c r="O144">
        <f t="shared" si="17"/>
        <v>0.73</v>
      </c>
    </row>
    <row r="145" spans="1:15" x14ac:dyDescent="0.3">
      <c r="A145" t="str">
        <f t="shared" si="12"/>
        <v>MED-144</v>
      </c>
      <c r="B145" t="str">
        <f>INDEX(Lotes!$A$2:$A$53,INT((ROW()-2)/5)+1)</f>
        <v>RETEX-2024-029</v>
      </c>
      <c r="C145" s="2">
        <f>INDEX(Lotes!$B$2:$B$53,INT((ROW()-2)/5)+1)</f>
        <v>46291</v>
      </c>
      <c r="D145">
        <f>INDEX(Lotes!$C$2:$C$53,INT((ROW()-2)/5)+1)</f>
        <v>39</v>
      </c>
      <c r="E145" t="str">
        <f>INDEX(Lotes!$E$2:$E$53,INT((ROW()-2)/5)+1)</f>
        <v>Poliéster</v>
      </c>
      <c r="F145">
        <v>99</v>
      </c>
      <c r="G145">
        <f>96</f>
        <v>96</v>
      </c>
      <c r="H145">
        <f>100</f>
        <v>100</v>
      </c>
      <c r="I145" t="str">
        <f t="shared" si="13"/>
        <v>✅ OK</v>
      </c>
      <c r="J145" s="6">
        <f>AVERAGE($F$2:F145)</f>
        <v>98.268680555555591</v>
      </c>
      <c r="K145">
        <f>IF(COUNTA($F$2:F145)&lt;20,"",_xlfn.STDEV.P($F$2:F145))</f>
        <v>0.74321864448545871</v>
      </c>
      <c r="L145">
        <f t="shared" si="14"/>
        <v>0.9</v>
      </c>
      <c r="M145">
        <f t="shared" si="15"/>
        <v>0.78</v>
      </c>
      <c r="N145" t="str">
        <f t="shared" si="16"/>
        <v>❌ NO CAPAZ — Requiere mejora</v>
      </c>
      <c r="O145">
        <f t="shared" si="17"/>
        <v>0.4</v>
      </c>
    </row>
    <row r="146" spans="1:15" x14ac:dyDescent="0.3">
      <c r="A146" t="str">
        <f t="shared" si="12"/>
        <v>MED-145</v>
      </c>
      <c r="B146" t="str">
        <f>INDEX(Lotes!$A$2:$A$53,INT((ROW()-2)/5)+1)</f>
        <v>RETEX-2024-029</v>
      </c>
      <c r="C146" s="2">
        <f>INDEX(Lotes!$B$2:$B$53,INT((ROW()-2)/5)+1)</f>
        <v>46291</v>
      </c>
      <c r="D146">
        <f>INDEX(Lotes!$C$2:$C$53,INT((ROW()-2)/5)+1)</f>
        <v>39</v>
      </c>
      <c r="E146" t="str">
        <f>INDEX(Lotes!$E$2:$E$53,INT((ROW()-2)/5)+1)</f>
        <v>Poliéster</v>
      </c>
      <c r="F146">
        <v>98.67</v>
      </c>
      <c r="G146">
        <f>96</f>
        <v>96</v>
      </c>
      <c r="H146">
        <f>100</f>
        <v>100</v>
      </c>
      <c r="I146" t="str">
        <f t="shared" si="13"/>
        <v>✅ OK</v>
      </c>
      <c r="J146" s="6">
        <f>AVERAGE($F$2:F146)</f>
        <v>98.271448275862113</v>
      </c>
      <c r="K146">
        <f>IF(COUNTA($F$2:F146)&lt;20,"",_xlfn.STDEV.P($F$2:F146))</f>
        <v>0.74139568225707964</v>
      </c>
      <c r="L146">
        <f t="shared" si="14"/>
        <v>0.9</v>
      </c>
      <c r="M146">
        <f t="shared" si="15"/>
        <v>0.78</v>
      </c>
      <c r="N146" t="str">
        <f t="shared" si="16"/>
        <v>❌ NO CAPAZ — Requiere mejora</v>
      </c>
      <c r="O146">
        <f t="shared" si="17"/>
        <v>-0.69</v>
      </c>
    </row>
    <row r="147" spans="1:15" x14ac:dyDescent="0.3">
      <c r="A147" t="str">
        <f t="shared" si="12"/>
        <v>MED-146</v>
      </c>
      <c r="B147" t="str">
        <f>INDEX(Lotes!$A$2:$A$53,INT((ROW()-2)/5)+1)</f>
        <v>RETEX-2024-030</v>
      </c>
      <c r="C147" s="2">
        <f>INDEX(Lotes!$B$2:$B$53,INT((ROW()-2)/5)+1)</f>
        <v>46298</v>
      </c>
      <c r="D147">
        <f>INDEX(Lotes!$C$2:$C$53,INT((ROW()-2)/5)+1)</f>
        <v>40</v>
      </c>
      <c r="E147" t="str">
        <f>INDEX(Lotes!$E$2:$E$53,INT((ROW()-2)/5)+1)</f>
        <v>Mezcla</v>
      </c>
      <c r="F147">
        <v>97.58</v>
      </c>
      <c r="G147">
        <f>96</f>
        <v>96</v>
      </c>
      <c r="H147">
        <f>100</f>
        <v>100</v>
      </c>
      <c r="I147" t="str">
        <f t="shared" si="13"/>
        <v>✅ OK</v>
      </c>
      <c r="J147" s="6">
        <f>AVERAGE($F$2:F147)</f>
        <v>98.26671232876717</v>
      </c>
      <c r="K147">
        <f>IF(COUNTA($F$2:F147)&lt;20,"",_xlfn.STDEV.P($F$2:F147))</f>
        <v>0.74104989349066186</v>
      </c>
      <c r="L147">
        <f t="shared" si="14"/>
        <v>0.9</v>
      </c>
      <c r="M147">
        <f t="shared" si="15"/>
        <v>0.78</v>
      </c>
      <c r="N147" t="str">
        <f t="shared" si="16"/>
        <v>❌ NO CAPAZ — Requiere mejora</v>
      </c>
      <c r="O147">
        <f t="shared" si="17"/>
        <v>0.53</v>
      </c>
    </row>
    <row r="148" spans="1:15" x14ac:dyDescent="0.3">
      <c r="A148" t="str">
        <f t="shared" si="12"/>
        <v>MED-147</v>
      </c>
      <c r="B148" t="str">
        <f>INDEX(Lotes!$A$2:$A$53,INT((ROW()-2)/5)+1)</f>
        <v>RETEX-2024-030</v>
      </c>
      <c r="C148" s="2">
        <f>INDEX(Lotes!$B$2:$B$53,INT((ROW()-2)/5)+1)</f>
        <v>46298</v>
      </c>
      <c r="D148">
        <f>INDEX(Lotes!$C$2:$C$53,INT((ROW()-2)/5)+1)</f>
        <v>40</v>
      </c>
      <c r="E148" t="str">
        <f>INDEX(Lotes!$E$2:$E$53,INT((ROW()-2)/5)+1)</f>
        <v>Mezcla</v>
      </c>
      <c r="F148">
        <v>98.8</v>
      </c>
      <c r="G148">
        <f>96</f>
        <v>96</v>
      </c>
      <c r="H148">
        <f>100</f>
        <v>100</v>
      </c>
      <c r="I148" t="str">
        <f t="shared" si="13"/>
        <v>✅ OK</v>
      </c>
      <c r="J148" s="6">
        <f>AVERAGE($F$2:F148)</f>
        <v>98.270340136054458</v>
      </c>
      <c r="K148">
        <f>IF(COUNTA($F$2:F148)&lt;20,"",_xlfn.STDEV.P($F$2:F148))</f>
        <v>0.73982477698032956</v>
      </c>
      <c r="L148">
        <f t="shared" si="14"/>
        <v>0.9</v>
      </c>
      <c r="M148">
        <f t="shared" si="15"/>
        <v>0.78</v>
      </c>
      <c r="N148" t="str">
        <f t="shared" si="16"/>
        <v>❌ NO CAPAZ — Requiere mejora</v>
      </c>
      <c r="O148">
        <f t="shared" si="17"/>
        <v>-0.01</v>
      </c>
    </row>
    <row r="149" spans="1:15" x14ac:dyDescent="0.3">
      <c r="A149" t="str">
        <f t="shared" si="12"/>
        <v>MED-148</v>
      </c>
      <c r="B149" t="str">
        <f>INDEX(Lotes!$A$2:$A$53,INT((ROW()-2)/5)+1)</f>
        <v>RETEX-2024-030</v>
      </c>
      <c r="C149" s="2">
        <f>INDEX(Lotes!$B$2:$B$53,INT((ROW()-2)/5)+1)</f>
        <v>46298</v>
      </c>
      <c r="D149">
        <f>INDEX(Lotes!$C$2:$C$53,INT((ROW()-2)/5)+1)</f>
        <v>40</v>
      </c>
      <c r="E149" t="str">
        <f>INDEX(Lotes!$E$2:$E$53,INT((ROW()-2)/5)+1)</f>
        <v>Mezcla</v>
      </c>
      <c r="F149">
        <v>98.26</v>
      </c>
      <c r="G149">
        <f>96</f>
        <v>96</v>
      </c>
      <c r="H149">
        <f>100</f>
        <v>100</v>
      </c>
      <c r="I149" t="str">
        <f t="shared" si="13"/>
        <v>✅ OK</v>
      </c>
      <c r="J149" s="6">
        <f>AVERAGE($F$2:F149)</f>
        <v>98.270270270270302</v>
      </c>
      <c r="K149">
        <f>IF(COUNTA($F$2:F149)&lt;20,"",_xlfn.STDEV.P($F$2:F149))</f>
        <v>0.73732161923900219</v>
      </c>
      <c r="L149">
        <f t="shared" si="14"/>
        <v>0.9</v>
      </c>
      <c r="M149">
        <f t="shared" si="15"/>
        <v>0.78</v>
      </c>
      <c r="N149" t="str">
        <f t="shared" si="16"/>
        <v>❌ NO CAPAZ — Requiere mejora</v>
      </c>
      <c r="O149">
        <f t="shared" si="17"/>
        <v>-0.4</v>
      </c>
    </row>
    <row r="150" spans="1:15" x14ac:dyDescent="0.3">
      <c r="A150" t="str">
        <f t="shared" si="12"/>
        <v>MED-149</v>
      </c>
      <c r="B150" t="str">
        <f>INDEX(Lotes!$A$2:$A$53,INT((ROW()-2)/5)+1)</f>
        <v>RETEX-2024-030</v>
      </c>
      <c r="C150" s="2">
        <f>INDEX(Lotes!$B$2:$B$53,INT((ROW()-2)/5)+1)</f>
        <v>46298</v>
      </c>
      <c r="D150">
        <f>INDEX(Lotes!$C$2:$C$53,INT((ROW()-2)/5)+1)</f>
        <v>40</v>
      </c>
      <c r="E150" t="str">
        <f>INDEX(Lotes!$E$2:$E$53,INT((ROW()-2)/5)+1)</f>
        <v>Mezcla</v>
      </c>
      <c r="F150">
        <v>97.87</v>
      </c>
      <c r="G150">
        <f>96</f>
        <v>96</v>
      </c>
      <c r="H150">
        <f>100</f>
        <v>100</v>
      </c>
      <c r="I150" t="str">
        <f t="shared" si="13"/>
        <v>✅ OK</v>
      </c>
      <c r="J150" s="6">
        <f>AVERAGE($F$2:F150)</f>
        <v>98.267583892617495</v>
      </c>
      <c r="K150">
        <f>IF(COUNTA($F$2:F150)&lt;20,"",_xlfn.STDEV.P($F$2:F150))</f>
        <v>0.73556958800711292</v>
      </c>
      <c r="L150">
        <f t="shared" si="14"/>
        <v>0.91</v>
      </c>
      <c r="M150">
        <f t="shared" si="15"/>
        <v>0.79</v>
      </c>
      <c r="N150" t="str">
        <f t="shared" si="16"/>
        <v>❌ NO CAPAZ — Requiere mejora</v>
      </c>
      <c r="O150">
        <f t="shared" si="17"/>
        <v>-1.93</v>
      </c>
    </row>
    <row r="151" spans="1:15" x14ac:dyDescent="0.3">
      <c r="A151" t="str">
        <f t="shared" si="12"/>
        <v>MED-150</v>
      </c>
      <c r="B151" t="str">
        <f>INDEX(Lotes!$A$2:$A$53,INT((ROW()-2)/5)+1)</f>
        <v>RETEX-2024-030</v>
      </c>
      <c r="C151" s="2">
        <f>INDEX(Lotes!$B$2:$B$53,INT((ROW()-2)/5)+1)</f>
        <v>46298</v>
      </c>
      <c r="D151">
        <f>INDEX(Lotes!$C$2:$C$53,INT((ROW()-2)/5)+1)</f>
        <v>40</v>
      </c>
      <c r="E151" t="str">
        <f>INDEX(Lotes!$E$2:$E$53,INT((ROW()-2)/5)+1)</f>
        <v>Mezcla</v>
      </c>
      <c r="F151">
        <v>96.32</v>
      </c>
      <c r="G151">
        <f>96</f>
        <v>96</v>
      </c>
      <c r="H151">
        <f>100</f>
        <v>100</v>
      </c>
      <c r="I151" t="str">
        <f t="shared" si="13"/>
        <v>✅ OK</v>
      </c>
      <c r="J151" s="6">
        <f>AVERAGE($F$2:F151)</f>
        <v>98.254600000000039</v>
      </c>
      <c r="K151">
        <f>IF(COUNTA($F$2:F151)&lt;20,"",_xlfn.STDEV.P($F$2:F151))</f>
        <v>0.75004944725886769</v>
      </c>
      <c r="L151">
        <f t="shared" si="14"/>
        <v>0.89</v>
      </c>
      <c r="M151">
        <f t="shared" si="15"/>
        <v>0.78</v>
      </c>
      <c r="N151" t="str">
        <f t="shared" si="16"/>
        <v>❌ NO CAPAZ — Requiere mejora</v>
      </c>
      <c r="O151">
        <f t="shared" si="17"/>
        <v>0.13</v>
      </c>
    </row>
    <row r="152" spans="1:15" x14ac:dyDescent="0.3">
      <c r="A152" t="str">
        <f t="shared" si="12"/>
        <v>MED-151</v>
      </c>
      <c r="B152" t="str">
        <f>INDEX(Lotes!$A$2:$A$53,INT((ROW()-2)/5)+1)</f>
        <v>RETEX-2024-031</v>
      </c>
      <c r="C152" s="2">
        <f>INDEX(Lotes!$B$2:$B$53,INT((ROW()-2)/5)+1)</f>
        <v>46305</v>
      </c>
      <c r="D152">
        <f>INDEX(Lotes!$C$2:$C$53,INT((ROW()-2)/5)+1)</f>
        <v>41</v>
      </c>
      <c r="E152" t="str">
        <f>INDEX(Lotes!$E$2:$E$53,INT((ROW()-2)/5)+1)</f>
        <v>Algodón</v>
      </c>
      <c r="F152">
        <v>98.39</v>
      </c>
      <c r="G152">
        <f>96</f>
        <v>96</v>
      </c>
      <c r="H152">
        <f>100</f>
        <v>100</v>
      </c>
      <c r="I152" t="str">
        <f t="shared" si="13"/>
        <v>✅ OK</v>
      </c>
      <c r="J152" s="6">
        <f>AVERAGE($F$2:F152)</f>
        <v>98.255496688741758</v>
      </c>
      <c r="K152">
        <f>IF(COUNTA($F$2:F152)&lt;20,"",_xlfn.STDEV.P($F$2:F152))</f>
        <v>0.74764237718391857</v>
      </c>
      <c r="L152">
        <f t="shared" si="14"/>
        <v>0.89</v>
      </c>
      <c r="M152">
        <f t="shared" si="15"/>
        <v>0.78</v>
      </c>
      <c r="N152" t="str">
        <f t="shared" si="16"/>
        <v>❌ NO CAPAZ — Requiere mejora</v>
      </c>
      <c r="O152">
        <f t="shared" si="17"/>
        <v>-0.61</v>
      </c>
    </row>
    <row r="153" spans="1:15" x14ac:dyDescent="0.3">
      <c r="A153" t="str">
        <f t="shared" si="12"/>
        <v>MED-152</v>
      </c>
      <c r="B153" t="str">
        <f>INDEX(Lotes!$A$2:$A$53,INT((ROW()-2)/5)+1)</f>
        <v>RETEX-2024-031</v>
      </c>
      <c r="C153" s="2">
        <f>INDEX(Lotes!$B$2:$B$53,INT((ROW()-2)/5)+1)</f>
        <v>46305</v>
      </c>
      <c r="D153">
        <f>INDEX(Lotes!$C$2:$C$53,INT((ROW()-2)/5)+1)</f>
        <v>41</v>
      </c>
      <c r="E153" t="str">
        <f>INDEX(Lotes!$E$2:$E$53,INT((ROW()-2)/5)+1)</f>
        <v>Algodón</v>
      </c>
      <c r="F153">
        <v>97.64</v>
      </c>
      <c r="G153">
        <f>96</f>
        <v>96</v>
      </c>
      <c r="H153">
        <f>100</f>
        <v>100</v>
      </c>
      <c r="I153" t="str">
        <f t="shared" si="13"/>
        <v>✅ OK</v>
      </c>
      <c r="J153" s="6">
        <f>AVERAGE($F$2:F153)</f>
        <v>98.251447368421083</v>
      </c>
      <c r="K153">
        <f>IF(COUNTA($F$2:F153)&lt;20,"",_xlfn.STDEV.P($F$2:F153))</f>
        <v>0.74683843096533153</v>
      </c>
      <c r="L153">
        <f t="shared" si="14"/>
        <v>0.89</v>
      </c>
      <c r="M153">
        <f t="shared" si="15"/>
        <v>0.78</v>
      </c>
      <c r="N153" t="str">
        <f t="shared" si="16"/>
        <v>❌ NO CAPAZ — Requiere mejora</v>
      </c>
      <c r="O153">
        <f t="shared" si="17"/>
        <v>-0.53</v>
      </c>
    </row>
    <row r="154" spans="1:15" x14ac:dyDescent="0.3">
      <c r="A154" t="str">
        <f t="shared" si="12"/>
        <v>MED-153</v>
      </c>
      <c r="B154" t="str">
        <f>INDEX(Lotes!$A$2:$A$53,INT((ROW()-2)/5)+1)</f>
        <v>RETEX-2024-031</v>
      </c>
      <c r="C154" s="2">
        <f>INDEX(Lotes!$B$2:$B$53,INT((ROW()-2)/5)+1)</f>
        <v>46305</v>
      </c>
      <c r="D154">
        <f>INDEX(Lotes!$C$2:$C$53,INT((ROW()-2)/5)+1)</f>
        <v>41</v>
      </c>
      <c r="E154" t="str">
        <f>INDEX(Lotes!$E$2:$E$53,INT((ROW()-2)/5)+1)</f>
        <v>Algodón</v>
      </c>
      <c r="F154">
        <v>97.72</v>
      </c>
      <c r="G154">
        <f>96</f>
        <v>96</v>
      </c>
      <c r="H154">
        <f>100</f>
        <v>100</v>
      </c>
      <c r="I154" t="str">
        <f t="shared" si="13"/>
        <v>✅ OK</v>
      </c>
      <c r="J154" s="6">
        <f>AVERAGE($F$2:F154)</f>
        <v>98.247973856209171</v>
      </c>
      <c r="K154">
        <f>IF(COUNTA($F$2:F154)&lt;20,"",_xlfn.STDEV.P($F$2:F154))</f>
        <v>0.74562458748373672</v>
      </c>
      <c r="L154">
        <f t="shared" si="14"/>
        <v>0.89</v>
      </c>
      <c r="M154">
        <f t="shared" si="15"/>
        <v>0.78</v>
      </c>
      <c r="N154" t="str">
        <f t="shared" si="16"/>
        <v>❌ NO CAPAZ — Requiere mejora</v>
      </c>
      <c r="O154">
        <f t="shared" si="17"/>
        <v>-0.36</v>
      </c>
    </row>
    <row r="155" spans="1:15" x14ac:dyDescent="0.3">
      <c r="A155" t="str">
        <f t="shared" si="12"/>
        <v>MED-154</v>
      </c>
      <c r="B155" t="str">
        <f>INDEX(Lotes!$A$2:$A$53,INT((ROW()-2)/5)+1)</f>
        <v>RETEX-2024-031</v>
      </c>
      <c r="C155" s="2">
        <f>INDEX(Lotes!$B$2:$B$53,INT((ROW()-2)/5)+1)</f>
        <v>46305</v>
      </c>
      <c r="D155">
        <f>INDEX(Lotes!$C$2:$C$53,INT((ROW()-2)/5)+1)</f>
        <v>41</v>
      </c>
      <c r="E155" t="str">
        <f>INDEX(Lotes!$E$2:$E$53,INT((ROW()-2)/5)+1)</f>
        <v>Algodón</v>
      </c>
      <c r="F155">
        <v>97.89</v>
      </c>
      <c r="G155">
        <f>96</f>
        <v>96</v>
      </c>
      <c r="H155">
        <f>100</f>
        <v>100</v>
      </c>
      <c r="I155" t="str">
        <f t="shared" si="13"/>
        <v>✅ OK</v>
      </c>
      <c r="J155" s="6">
        <f>AVERAGE($F$2:F155)</f>
        <v>98.245649350649373</v>
      </c>
      <c r="K155">
        <f>IF(COUNTA($F$2:F155)&lt;20,"",_xlfn.STDEV.P($F$2:F155))</f>
        <v>0.74375575983772091</v>
      </c>
      <c r="L155">
        <f t="shared" si="14"/>
        <v>0.9</v>
      </c>
      <c r="M155">
        <f t="shared" si="15"/>
        <v>0.79</v>
      </c>
      <c r="N155" t="str">
        <f t="shared" si="16"/>
        <v>❌ NO CAPAZ — Requiere mejora</v>
      </c>
      <c r="O155">
        <f t="shared" si="17"/>
        <v>0.56999999999999995</v>
      </c>
    </row>
    <row r="156" spans="1:15" x14ac:dyDescent="0.3">
      <c r="A156" t="str">
        <f t="shared" si="12"/>
        <v>MED-155</v>
      </c>
      <c r="B156" t="str">
        <f>INDEX(Lotes!$A$2:$A$53,INT((ROW()-2)/5)+1)</f>
        <v>RETEX-2024-031</v>
      </c>
      <c r="C156" s="2">
        <f>INDEX(Lotes!$B$2:$B$53,INT((ROW()-2)/5)+1)</f>
        <v>46305</v>
      </c>
      <c r="D156">
        <f>INDEX(Lotes!$C$2:$C$53,INT((ROW()-2)/5)+1)</f>
        <v>41</v>
      </c>
      <c r="E156" t="str">
        <f>INDEX(Lotes!$E$2:$E$53,INT((ROW()-2)/5)+1)</f>
        <v>Algodón</v>
      </c>
      <c r="F156">
        <v>98.82</v>
      </c>
      <c r="G156">
        <f>96</f>
        <v>96</v>
      </c>
      <c r="H156">
        <f>100</f>
        <v>100</v>
      </c>
      <c r="I156" t="str">
        <f t="shared" si="13"/>
        <v>✅ OK</v>
      </c>
      <c r="J156" s="6">
        <f>AVERAGE($F$2:F156)</f>
        <v>98.249354838709692</v>
      </c>
      <c r="K156">
        <f>IF(COUNTA($F$2:F156)&lt;20,"",_xlfn.STDEV.P($F$2:F156))</f>
        <v>0.74277741850727286</v>
      </c>
      <c r="L156">
        <f t="shared" si="14"/>
        <v>0.9</v>
      </c>
      <c r="M156">
        <f t="shared" si="15"/>
        <v>0.79</v>
      </c>
      <c r="N156" t="str">
        <f t="shared" si="16"/>
        <v>❌ NO CAPAZ — Requiere mejora</v>
      </c>
      <c r="O156">
        <f t="shared" si="17"/>
        <v>-0.28999999999999998</v>
      </c>
    </row>
    <row r="157" spans="1:15" x14ac:dyDescent="0.3">
      <c r="A157" t="str">
        <f t="shared" si="12"/>
        <v>MED-156</v>
      </c>
      <c r="B157" t="str">
        <f>INDEX(Lotes!$A$2:$A$53,INT((ROW()-2)/5)+1)</f>
        <v>RETEX-2024-032</v>
      </c>
      <c r="C157" s="2">
        <f>INDEX(Lotes!$B$2:$B$53,INT((ROW()-2)/5)+1)</f>
        <v>46312</v>
      </c>
      <c r="D157">
        <f>INDEX(Lotes!$C$2:$C$53,INT((ROW()-2)/5)+1)</f>
        <v>42</v>
      </c>
      <c r="E157" t="str">
        <f>INDEX(Lotes!$E$2:$E$53,INT((ROW()-2)/5)+1)</f>
        <v>Poliéster</v>
      </c>
      <c r="F157">
        <v>97.96</v>
      </c>
      <c r="G157">
        <f>96</f>
        <v>96</v>
      </c>
      <c r="H157">
        <f>100</f>
        <v>100</v>
      </c>
      <c r="I157" t="str">
        <f t="shared" si="13"/>
        <v>✅ OK</v>
      </c>
      <c r="J157" s="6">
        <f>AVERAGE($F$2:F157)</f>
        <v>98.247500000000016</v>
      </c>
      <c r="K157">
        <f>IF(COUNTA($F$2:F157)&lt;20,"",_xlfn.STDEV.P($F$2:F157))</f>
        <v>0.74075293036622791</v>
      </c>
      <c r="L157">
        <f t="shared" si="14"/>
        <v>0.9</v>
      </c>
      <c r="M157">
        <f t="shared" si="15"/>
        <v>0.79</v>
      </c>
      <c r="N157" t="str">
        <f t="shared" si="16"/>
        <v>❌ NO CAPAZ — Requiere mejora</v>
      </c>
      <c r="O157">
        <f t="shared" si="17"/>
        <v>0.56999999999999995</v>
      </c>
    </row>
    <row r="158" spans="1:15" x14ac:dyDescent="0.3">
      <c r="A158" t="str">
        <f t="shared" si="12"/>
        <v>MED-157</v>
      </c>
      <c r="B158" t="str">
        <f>INDEX(Lotes!$A$2:$A$53,INT((ROW()-2)/5)+1)</f>
        <v>RETEX-2024-032</v>
      </c>
      <c r="C158" s="2">
        <f>INDEX(Lotes!$B$2:$B$53,INT((ROW()-2)/5)+1)</f>
        <v>46312</v>
      </c>
      <c r="D158">
        <f>INDEX(Lotes!$C$2:$C$53,INT((ROW()-2)/5)+1)</f>
        <v>42</v>
      </c>
      <c r="E158" t="str">
        <f>INDEX(Lotes!$E$2:$E$53,INT((ROW()-2)/5)+1)</f>
        <v>Poliéster</v>
      </c>
      <c r="F158">
        <v>98.82</v>
      </c>
      <c r="G158">
        <f>96</f>
        <v>96</v>
      </c>
      <c r="H158">
        <f>100</f>
        <v>100</v>
      </c>
      <c r="I158" t="str">
        <f t="shared" si="13"/>
        <v>✅ OK</v>
      </c>
      <c r="J158" s="6">
        <f>AVERAGE($F$2:F158)</f>
        <v>98.251146496815295</v>
      </c>
      <c r="K158">
        <f>IF(COUNTA($F$2:F158)&lt;20,"",_xlfn.STDEV.P($F$2:F158))</f>
        <v>0.73979336773610371</v>
      </c>
      <c r="L158">
        <f t="shared" si="14"/>
        <v>0.9</v>
      </c>
      <c r="M158">
        <f t="shared" si="15"/>
        <v>0.79</v>
      </c>
      <c r="N158" t="str">
        <f t="shared" si="16"/>
        <v>❌ NO CAPAZ — Requiere mejora</v>
      </c>
      <c r="O158">
        <f t="shared" si="17"/>
        <v>0.84</v>
      </c>
    </row>
    <row r="159" spans="1:15" x14ac:dyDescent="0.3">
      <c r="A159" t="str">
        <f t="shared" si="12"/>
        <v>MED-158</v>
      </c>
      <c r="B159" t="str">
        <f>INDEX(Lotes!$A$2:$A$53,INT((ROW()-2)/5)+1)</f>
        <v>RETEX-2024-032</v>
      </c>
      <c r="C159" s="2">
        <f>INDEX(Lotes!$B$2:$B$53,INT((ROW()-2)/5)+1)</f>
        <v>46312</v>
      </c>
      <c r="D159">
        <f>INDEX(Lotes!$C$2:$C$53,INT((ROW()-2)/5)+1)</f>
        <v>42</v>
      </c>
      <c r="E159" t="str">
        <f>INDEX(Lotes!$E$2:$E$53,INT((ROW()-2)/5)+1)</f>
        <v>Poliéster</v>
      </c>
      <c r="F159">
        <v>99.1</v>
      </c>
      <c r="G159">
        <f>96</f>
        <v>96</v>
      </c>
      <c r="H159">
        <f>100</f>
        <v>100</v>
      </c>
      <c r="I159" t="str">
        <f t="shared" si="13"/>
        <v>✅ OK</v>
      </c>
      <c r="J159" s="6">
        <f>AVERAGE($F$2:F159)</f>
        <v>98.256518987341792</v>
      </c>
      <c r="K159">
        <f>IF(COUNTA($F$2:F159)&lt;20,"",_xlfn.STDEV.P($F$2:F159))</f>
        <v>0.74051464076261453</v>
      </c>
      <c r="L159">
        <f t="shared" si="14"/>
        <v>0.9</v>
      </c>
      <c r="M159">
        <f t="shared" si="15"/>
        <v>0.78</v>
      </c>
      <c r="N159" t="str">
        <f t="shared" si="16"/>
        <v>❌ NO CAPAZ — Requiere mejora</v>
      </c>
      <c r="O159">
        <f t="shared" si="17"/>
        <v>0.69</v>
      </c>
    </row>
    <row r="160" spans="1:15" x14ac:dyDescent="0.3">
      <c r="A160" t="str">
        <f t="shared" si="12"/>
        <v>MED-159</v>
      </c>
      <c r="B160" t="str">
        <f>INDEX(Lotes!$A$2:$A$53,INT((ROW()-2)/5)+1)</f>
        <v>RETEX-2024-032</v>
      </c>
      <c r="C160" s="2">
        <f>INDEX(Lotes!$B$2:$B$53,INT((ROW()-2)/5)+1)</f>
        <v>46312</v>
      </c>
      <c r="D160">
        <f>INDEX(Lotes!$C$2:$C$53,INT((ROW()-2)/5)+1)</f>
        <v>42</v>
      </c>
      <c r="E160" t="str">
        <f>INDEX(Lotes!$E$2:$E$53,INT((ROW()-2)/5)+1)</f>
        <v>Poliéster</v>
      </c>
      <c r="F160">
        <v>98.95</v>
      </c>
      <c r="G160">
        <f>96</f>
        <v>96</v>
      </c>
      <c r="H160">
        <f>100</f>
        <v>100</v>
      </c>
      <c r="I160" t="str">
        <f t="shared" si="13"/>
        <v>✅ OK</v>
      </c>
      <c r="J160" s="6">
        <f>AVERAGE($F$2:F160)</f>
        <v>98.260880503144676</v>
      </c>
      <c r="K160">
        <f>IF(COUNTA($F$2:F160)&lt;20,"",_xlfn.STDEV.P($F$2:F160))</f>
        <v>0.74021532108539778</v>
      </c>
      <c r="L160">
        <f t="shared" si="14"/>
        <v>0.9</v>
      </c>
      <c r="M160">
        <f t="shared" si="15"/>
        <v>0.78</v>
      </c>
      <c r="N160" t="str">
        <f t="shared" si="16"/>
        <v>❌ NO CAPAZ — Requiere mejora</v>
      </c>
      <c r="O160">
        <f t="shared" si="17"/>
        <v>0.78</v>
      </c>
    </row>
    <row r="161" spans="1:15" x14ac:dyDescent="0.3">
      <c r="A161" t="str">
        <f t="shared" si="12"/>
        <v>MED-160</v>
      </c>
      <c r="B161" t="str">
        <f>INDEX(Lotes!$A$2:$A$53,INT((ROW()-2)/5)+1)</f>
        <v>RETEX-2024-032</v>
      </c>
      <c r="C161" s="2">
        <f>INDEX(Lotes!$B$2:$B$53,INT((ROW()-2)/5)+1)</f>
        <v>46312</v>
      </c>
      <c r="D161">
        <f>INDEX(Lotes!$C$2:$C$53,INT((ROW()-2)/5)+1)</f>
        <v>42</v>
      </c>
      <c r="E161" t="str">
        <f>INDEX(Lotes!$E$2:$E$53,INT((ROW()-2)/5)+1)</f>
        <v>Poliéster</v>
      </c>
      <c r="F161">
        <v>99.05</v>
      </c>
      <c r="G161">
        <f>96</f>
        <v>96</v>
      </c>
      <c r="H161">
        <f>100</f>
        <v>100</v>
      </c>
      <c r="I161" t="str">
        <f t="shared" si="13"/>
        <v>✅ OK</v>
      </c>
      <c r="J161" s="6">
        <f>AVERAGE($F$2:F161)</f>
        <v>98.26581250000001</v>
      </c>
      <c r="K161">
        <f>IF(COUNTA($F$2:F161)&lt;20,"",_xlfn.STDEV.P($F$2:F161))</f>
        <v>0.74051457773885165</v>
      </c>
      <c r="L161">
        <f t="shared" si="14"/>
        <v>0.9</v>
      </c>
      <c r="M161">
        <f t="shared" si="15"/>
        <v>0.78</v>
      </c>
      <c r="N161" t="str">
        <f t="shared" si="16"/>
        <v>❌ NO CAPAZ — Requiere mejora</v>
      </c>
      <c r="O161">
        <f t="shared" si="17"/>
        <v>-1.27</v>
      </c>
    </row>
    <row r="162" spans="1:15" x14ac:dyDescent="0.3">
      <c r="A162" t="str">
        <f t="shared" si="12"/>
        <v>MED-161</v>
      </c>
      <c r="B162" t="str">
        <f>INDEX(Lotes!$A$2:$A$53,INT((ROW()-2)/5)+1)</f>
        <v>RETEX-2024-033</v>
      </c>
      <c r="C162" s="2">
        <f>INDEX(Lotes!$B$2:$B$53,INT((ROW()-2)/5)+1)</f>
        <v>46319</v>
      </c>
      <c r="D162">
        <f>INDEX(Lotes!$C$2:$C$53,INT((ROW()-2)/5)+1)</f>
        <v>43</v>
      </c>
      <c r="E162" t="str">
        <f>INDEX(Lotes!$E$2:$E$53,INT((ROW()-2)/5)+1)</f>
        <v>Mezcla</v>
      </c>
      <c r="F162">
        <v>96.99</v>
      </c>
      <c r="G162">
        <f>96</f>
        <v>96</v>
      </c>
      <c r="H162">
        <f>100</f>
        <v>100</v>
      </c>
      <c r="I162" t="str">
        <f t="shared" si="13"/>
        <v>✅ OK</v>
      </c>
      <c r="J162" s="6">
        <f>AVERAGE($F$2:F162)</f>
        <v>98.257888198757783</v>
      </c>
      <c r="K162">
        <f>IF(COUNTA($F$2:F162)&lt;20,"",_xlfn.STDEV.P($F$2:F162))</f>
        <v>0.74498523053256693</v>
      </c>
      <c r="L162">
        <f t="shared" si="14"/>
        <v>0.89</v>
      </c>
      <c r="M162">
        <f t="shared" si="15"/>
        <v>0.78</v>
      </c>
      <c r="N162" t="str">
        <f t="shared" si="16"/>
        <v>❌ NO CAPAZ — Requiere mejora</v>
      </c>
      <c r="O162">
        <f t="shared" si="17"/>
        <v>-1.63</v>
      </c>
    </row>
    <row r="163" spans="1:15" x14ac:dyDescent="0.3">
      <c r="A163" t="str">
        <f t="shared" si="12"/>
        <v>MED-162</v>
      </c>
      <c r="B163" t="str">
        <f>INDEX(Lotes!$A$2:$A$53,INT((ROW()-2)/5)+1)</f>
        <v>RETEX-2024-033</v>
      </c>
      <c r="C163" s="2">
        <f>INDEX(Lotes!$B$2:$B$53,INT((ROW()-2)/5)+1)</f>
        <v>46319</v>
      </c>
      <c r="D163">
        <f>INDEX(Lotes!$C$2:$C$53,INT((ROW()-2)/5)+1)</f>
        <v>43</v>
      </c>
      <c r="E163" t="str">
        <f>INDEX(Lotes!$E$2:$E$53,INT((ROW()-2)/5)+1)</f>
        <v>Mezcla</v>
      </c>
      <c r="F163">
        <v>96.62</v>
      </c>
      <c r="G163">
        <f>96</f>
        <v>96</v>
      </c>
      <c r="H163">
        <f>100</f>
        <v>100</v>
      </c>
      <c r="I163" t="str">
        <f t="shared" si="13"/>
        <v>✅ OK</v>
      </c>
      <c r="J163" s="6">
        <f>AVERAGE($F$2:F163)</f>
        <v>98.247777777777799</v>
      </c>
      <c r="K163">
        <f>IF(COUNTA($F$2:F163)&lt;20,"",_xlfn.STDEV.P($F$2:F163))</f>
        <v>0.75368068032903268</v>
      </c>
      <c r="L163">
        <f t="shared" si="14"/>
        <v>0.88</v>
      </c>
      <c r="M163">
        <f t="shared" si="15"/>
        <v>0.77</v>
      </c>
      <c r="N163" t="str">
        <f t="shared" si="16"/>
        <v>❌ NO CAPAZ — Requiere mejora</v>
      </c>
      <c r="O163">
        <f t="shared" si="17"/>
        <v>-2.08</v>
      </c>
    </row>
    <row r="164" spans="1:15" x14ac:dyDescent="0.3">
      <c r="A164" t="str">
        <f t="shared" si="12"/>
        <v>MED-163</v>
      </c>
      <c r="B164" t="str">
        <f>INDEX(Lotes!$A$2:$A$53,INT((ROW()-2)/5)+1)</f>
        <v>RETEX-2024-033</v>
      </c>
      <c r="C164" s="2">
        <f>INDEX(Lotes!$B$2:$B$53,INT((ROW()-2)/5)+1)</f>
        <v>46319</v>
      </c>
      <c r="D164">
        <f>INDEX(Lotes!$C$2:$C$53,INT((ROW()-2)/5)+1)</f>
        <v>43</v>
      </c>
      <c r="E164" t="str">
        <f>INDEX(Lotes!$E$2:$E$53,INT((ROW()-2)/5)+1)</f>
        <v>Mezcla</v>
      </c>
      <c r="F164">
        <v>96.15</v>
      </c>
      <c r="G164">
        <f>96</f>
        <v>96</v>
      </c>
      <c r="H164">
        <f>100</f>
        <v>100</v>
      </c>
      <c r="I164" t="str">
        <f t="shared" si="13"/>
        <v>✅ OK</v>
      </c>
      <c r="J164" s="6">
        <f>AVERAGE($F$2:F164)</f>
        <v>98.234907975460146</v>
      </c>
      <c r="K164">
        <f>IF(COUNTA($F$2:F164)&lt;20,"",_xlfn.STDEV.P($F$2:F164))</f>
        <v>0.76901368436862527</v>
      </c>
      <c r="L164">
        <f t="shared" si="14"/>
        <v>0.87</v>
      </c>
      <c r="M164">
        <f t="shared" si="15"/>
        <v>0.77</v>
      </c>
      <c r="N164" t="str">
        <f t="shared" si="16"/>
        <v>❌ NO CAPAZ — Requiere mejora</v>
      </c>
      <c r="O164">
        <f t="shared" si="17"/>
        <v>-1.96</v>
      </c>
    </row>
    <row r="165" spans="1:15" x14ac:dyDescent="0.3">
      <c r="A165" t="str">
        <f t="shared" si="12"/>
        <v>MED-164</v>
      </c>
      <c r="B165" t="str">
        <f>INDEX(Lotes!$A$2:$A$53,INT((ROW()-2)/5)+1)</f>
        <v>RETEX-2024-033</v>
      </c>
      <c r="C165" s="2">
        <f>INDEX(Lotes!$B$2:$B$53,INT((ROW()-2)/5)+1)</f>
        <v>46319</v>
      </c>
      <c r="D165">
        <f>INDEX(Lotes!$C$2:$C$53,INT((ROW()-2)/5)+1)</f>
        <v>43</v>
      </c>
      <c r="E165" t="str">
        <f>INDEX(Lotes!$E$2:$E$53,INT((ROW()-2)/5)+1)</f>
        <v>Mezcla</v>
      </c>
      <c r="F165">
        <v>96.26</v>
      </c>
      <c r="G165">
        <f>96</f>
        <v>96</v>
      </c>
      <c r="H165">
        <f>100</f>
        <v>100</v>
      </c>
      <c r="I165" t="str">
        <f t="shared" si="13"/>
        <v>✅ OK</v>
      </c>
      <c r="J165" s="6">
        <f>AVERAGE($F$2:F165)</f>
        <v>98.222865853658561</v>
      </c>
      <c r="K165">
        <f>IF(COUNTA($F$2:F165)&lt;20,"",_xlfn.STDEV.P($F$2:F165))</f>
        <v>0.78192910698235407</v>
      </c>
      <c r="L165">
        <f t="shared" si="14"/>
        <v>0.85</v>
      </c>
      <c r="M165">
        <f t="shared" si="15"/>
        <v>0.76</v>
      </c>
      <c r="N165" t="str">
        <f t="shared" si="16"/>
        <v>❌ NO CAPAZ — Requiere mejora</v>
      </c>
      <c r="O165">
        <f t="shared" si="17"/>
        <v>-0.4</v>
      </c>
    </row>
    <row r="166" spans="1:15" x14ac:dyDescent="0.3">
      <c r="A166" t="str">
        <f t="shared" si="12"/>
        <v>MED-165</v>
      </c>
      <c r="B166" t="str">
        <f>INDEX(Lotes!$A$2:$A$53,INT((ROW()-2)/5)+1)</f>
        <v>RETEX-2024-033</v>
      </c>
      <c r="C166" s="2">
        <f>INDEX(Lotes!$B$2:$B$53,INT((ROW()-2)/5)+1)</f>
        <v>46319</v>
      </c>
      <c r="D166">
        <f>INDEX(Lotes!$C$2:$C$53,INT((ROW()-2)/5)+1)</f>
        <v>43</v>
      </c>
      <c r="E166" t="str">
        <f>INDEX(Lotes!$E$2:$E$53,INT((ROW()-2)/5)+1)</f>
        <v>Mezcla</v>
      </c>
      <c r="F166">
        <v>97.82</v>
      </c>
      <c r="G166">
        <f>96</f>
        <v>96</v>
      </c>
      <c r="H166">
        <f>100</f>
        <v>100</v>
      </c>
      <c r="I166" t="str">
        <f t="shared" si="13"/>
        <v>✅ OK</v>
      </c>
      <c r="J166" s="6">
        <f>AVERAGE($F$2:F166)</f>
        <v>98.220424242424258</v>
      </c>
      <c r="K166">
        <f>IF(COUNTA($F$2:F166)&lt;20,"",_xlfn.STDEV.P($F$2:F166))</f>
        <v>0.78018284687874273</v>
      </c>
      <c r="L166">
        <f t="shared" si="14"/>
        <v>0.85</v>
      </c>
      <c r="M166">
        <f t="shared" si="15"/>
        <v>0.76</v>
      </c>
      <c r="N166" t="str">
        <f t="shared" si="16"/>
        <v>❌ NO CAPAZ — Requiere mejora</v>
      </c>
      <c r="O166">
        <f t="shared" si="17"/>
        <v>0.69</v>
      </c>
    </row>
    <row r="167" spans="1:15" x14ac:dyDescent="0.3">
      <c r="A167" t="str">
        <f t="shared" si="12"/>
        <v>MED-166</v>
      </c>
      <c r="B167" t="str">
        <f>INDEX(Lotes!$A$2:$A$53,INT((ROW()-2)/5)+1)</f>
        <v>RETEX-2024-034</v>
      </c>
      <c r="C167" s="2">
        <f>INDEX(Lotes!$B$2:$B$53,INT((ROW()-2)/5)+1)</f>
        <v>46326</v>
      </c>
      <c r="D167">
        <f>INDEX(Lotes!$C$2:$C$53,INT((ROW()-2)/5)+1)</f>
        <v>44</v>
      </c>
      <c r="E167" t="str">
        <f>INDEX(Lotes!$E$2:$E$53,INT((ROW()-2)/5)+1)</f>
        <v>Algodón</v>
      </c>
      <c r="F167">
        <v>98.91</v>
      </c>
      <c r="G167">
        <f>96</f>
        <v>96</v>
      </c>
      <c r="H167">
        <f>100</f>
        <v>100</v>
      </c>
      <c r="I167" t="str">
        <f t="shared" si="13"/>
        <v>✅ OK</v>
      </c>
      <c r="J167" s="6">
        <f>AVERAGE($F$2:F167)</f>
        <v>98.224578313253033</v>
      </c>
      <c r="K167">
        <f>IF(COUNTA($F$2:F167)&lt;20,"",_xlfn.STDEV.P($F$2:F167))</f>
        <v>0.77965747994597501</v>
      </c>
      <c r="L167">
        <f t="shared" si="14"/>
        <v>0.86</v>
      </c>
      <c r="M167">
        <f t="shared" si="15"/>
        <v>0.76</v>
      </c>
      <c r="N167" t="str">
        <f t="shared" si="16"/>
        <v>❌ NO CAPAZ — Requiere mejora</v>
      </c>
      <c r="O167">
        <f t="shared" si="17"/>
        <v>0.02</v>
      </c>
    </row>
    <row r="168" spans="1:15" x14ac:dyDescent="0.3">
      <c r="A168" t="str">
        <f t="shared" si="12"/>
        <v>MED-167</v>
      </c>
      <c r="B168" t="str">
        <f>INDEX(Lotes!$A$2:$A$53,INT((ROW()-2)/5)+1)</f>
        <v>RETEX-2024-034</v>
      </c>
      <c r="C168" s="2">
        <f>INDEX(Lotes!$B$2:$B$53,INT((ROW()-2)/5)+1)</f>
        <v>46326</v>
      </c>
      <c r="D168">
        <f>INDEX(Lotes!$C$2:$C$53,INT((ROW()-2)/5)+1)</f>
        <v>44</v>
      </c>
      <c r="E168" t="str">
        <f>INDEX(Lotes!$E$2:$E$53,INT((ROW()-2)/5)+1)</f>
        <v>Algodón</v>
      </c>
      <c r="F168">
        <v>98.24</v>
      </c>
      <c r="G168">
        <f>96</f>
        <v>96</v>
      </c>
      <c r="H168">
        <f>100</f>
        <v>100</v>
      </c>
      <c r="I168" t="str">
        <f t="shared" si="13"/>
        <v>✅ OK</v>
      </c>
      <c r="J168" s="6">
        <f>AVERAGE($F$2:F168)</f>
        <v>98.224670658682655</v>
      </c>
      <c r="K168">
        <f>IF(COUNTA($F$2:F168)&lt;20,"",_xlfn.STDEV.P($F$2:F168))</f>
        <v>0.77732058170607909</v>
      </c>
      <c r="L168">
        <f t="shared" si="14"/>
        <v>0.86</v>
      </c>
      <c r="M168">
        <f t="shared" si="15"/>
        <v>0.76</v>
      </c>
      <c r="N168" t="str">
        <f t="shared" si="16"/>
        <v>❌ NO CAPAZ — Requiere mejora</v>
      </c>
      <c r="O168">
        <f t="shared" si="17"/>
        <v>0.13</v>
      </c>
    </row>
    <row r="169" spans="1:15" x14ac:dyDescent="0.3">
      <c r="A169" t="str">
        <f t="shared" si="12"/>
        <v>MED-168</v>
      </c>
      <c r="B169" t="str">
        <f>INDEX(Lotes!$A$2:$A$53,INT((ROW()-2)/5)+1)</f>
        <v>RETEX-2024-034</v>
      </c>
      <c r="C169" s="2">
        <f>INDEX(Lotes!$B$2:$B$53,INT((ROW()-2)/5)+1)</f>
        <v>46326</v>
      </c>
      <c r="D169">
        <f>INDEX(Lotes!$C$2:$C$53,INT((ROW()-2)/5)+1)</f>
        <v>44</v>
      </c>
      <c r="E169" t="str">
        <f>INDEX(Lotes!$E$2:$E$53,INT((ROW()-2)/5)+1)</f>
        <v>Algodón</v>
      </c>
      <c r="F169">
        <v>98.36</v>
      </c>
      <c r="G169">
        <f>96</f>
        <v>96</v>
      </c>
      <c r="H169">
        <f>100</f>
        <v>100</v>
      </c>
      <c r="I169" t="str">
        <f t="shared" si="13"/>
        <v>✅ OK</v>
      </c>
      <c r="J169" s="6">
        <f>AVERAGE($F$2:F169)</f>
        <v>98.225476190476215</v>
      </c>
      <c r="K169">
        <f>IF(COUNTA($F$2:F169)&lt;20,"",_xlfn.STDEV.P($F$2:F169))</f>
        <v>0.77507358293062456</v>
      </c>
      <c r="L169">
        <f t="shared" si="14"/>
        <v>0.86</v>
      </c>
      <c r="M169">
        <f t="shared" si="15"/>
        <v>0.76</v>
      </c>
      <c r="N169" t="str">
        <f t="shared" si="16"/>
        <v>❌ NO CAPAZ — Requiere mejora</v>
      </c>
      <c r="O169">
        <f t="shared" si="17"/>
        <v>-7.0000000000000007E-2</v>
      </c>
    </row>
    <row r="170" spans="1:15" x14ac:dyDescent="0.3">
      <c r="A170" t="str">
        <f t="shared" si="12"/>
        <v>MED-169</v>
      </c>
      <c r="B170" t="str">
        <f>INDEX(Lotes!$A$2:$A$53,INT((ROW()-2)/5)+1)</f>
        <v>RETEX-2024-034</v>
      </c>
      <c r="C170" s="2">
        <f>INDEX(Lotes!$B$2:$B$53,INT((ROW()-2)/5)+1)</f>
        <v>46326</v>
      </c>
      <c r="D170">
        <f>INDEX(Lotes!$C$2:$C$53,INT((ROW()-2)/5)+1)</f>
        <v>44</v>
      </c>
      <c r="E170" t="str">
        <f>INDEX(Lotes!$E$2:$E$53,INT((ROW()-2)/5)+1)</f>
        <v>Algodón</v>
      </c>
      <c r="F170">
        <v>98.16</v>
      </c>
      <c r="G170">
        <f>96</f>
        <v>96</v>
      </c>
      <c r="H170">
        <f>100</f>
        <v>100</v>
      </c>
      <c r="I170" t="str">
        <f t="shared" si="13"/>
        <v>✅ OK</v>
      </c>
      <c r="J170" s="6">
        <f>AVERAGE($F$2:F170)</f>
        <v>98.225088757396477</v>
      </c>
      <c r="K170">
        <f>IF(COUNTA($F$2:F170)&lt;20,"",_xlfn.STDEV.P($F$2:F170))</f>
        <v>0.77279337956968741</v>
      </c>
      <c r="L170">
        <f t="shared" si="14"/>
        <v>0.86</v>
      </c>
      <c r="M170">
        <f t="shared" si="15"/>
        <v>0.77</v>
      </c>
      <c r="N170" t="str">
        <f t="shared" si="16"/>
        <v>❌ NO CAPAZ — Requiere mejora</v>
      </c>
      <c r="O170">
        <f t="shared" si="17"/>
        <v>1</v>
      </c>
    </row>
    <row r="171" spans="1:15" x14ac:dyDescent="0.3">
      <c r="A171" t="str">
        <f t="shared" si="12"/>
        <v>MED-170</v>
      </c>
      <c r="B171" t="str">
        <f>INDEX(Lotes!$A$2:$A$53,INT((ROW()-2)/5)+1)</f>
        <v>RETEX-2024-034</v>
      </c>
      <c r="C171" s="2">
        <f>INDEX(Lotes!$B$2:$B$53,INT((ROW()-2)/5)+1)</f>
        <v>46326</v>
      </c>
      <c r="D171">
        <f>INDEX(Lotes!$C$2:$C$53,INT((ROW()-2)/5)+1)</f>
        <v>44</v>
      </c>
      <c r="E171" t="str">
        <f>INDEX(Lotes!$E$2:$E$53,INT((ROW()-2)/5)+1)</f>
        <v>Algodón</v>
      </c>
      <c r="F171">
        <v>99.23</v>
      </c>
      <c r="G171">
        <f>96</f>
        <v>96</v>
      </c>
      <c r="H171">
        <f>100</f>
        <v>100</v>
      </c>
      <c r="I171" t="str">
        <f t="shared" si="13"/>
        <v>✅ OK</v>
      </c>
      <c r="J171" s="6">
        <f>AVERAGE($F$2:F171)</f>
        <v>98.231000000000023</v>
      </c>
      <c r="K171">
        <f>IF(COUNTA($F$2:F171)&lt;20,"",_xlfn.STDEV.P($F$2:F171))</f>
        <v>0.77433968074513015</v>
      </c>
      <c r="L171">
        <f t="shared" si="14"/>
        <v>0.86</v>
      </c>
      <c r="M171">
        <f t="shared" si="15"/>
        <v>0.76</v>
      </c>
      <c r="N171" t="str">
        <f t="shared" si="16"/>
        <v>❌ NO CAPAZ — Requiere mejora</v>
      </c>
      <c r="O171">
        <f t="shared" si="17"/>
        <v>0.63</v>
      </c>
    </row>
    <row r="172" spans="1:15" x14ac:dyDescent="0.3">
      <c r="A172" t="str">
        <f t="shared" si="12"/>
        <v>MED-171</v>
      </c>
      <c r="B172" t="str">
        <f>INDEX(Lotes!$A$2:$A$53,INT((ROW()-2)/5)+1)</f>
        <v>RETEX-2024-035</v>
      </c>
      <c r="C172" s="2">
        <f>INDEX(Lotes!$B$2:$B$53,INT((ROW()-2)/5)+1)</f>
        <v>46333</v>
      </c>
      <c r="D172">
        <f>INDEX(Lotes!$C$2:$C$53,INT((ROW()-2)/5)+1)</f>
        <v>45</v>
      </c>
      <c r="E172" t="str">
        <f>INDEX(Lotes!$E$2:$E$53,INT((ROW()-2)/5)+1)</f>
        <v>Poliéster</v>
      </c>
      <c r="F172">
        <v>98.86</v>
      </c>
      <c r="G172">
        <f>96</f>
        <v>96</v>
      </c>
      <c r="H172">
        <f>100</f>
        <v>100</v>
      </c>
      <c r="I172" t="str">
        <f t="shared" si="13"/>
        <v>✅ OK</v>
      </c>
      <c r="J172" s="6">
        <f>AVERAGE($F$2:F172)</f>
        <v>98.234678362573121</v>
      </c>
      <c r="K172">
        <f>IF(COUNTA($F$2:F172)&lt;20,"",_xlfn.STDEV.P($F$2:F172))</f>
        <v>0.77356037694758084</v>
      </c>
      <c r="L172">
        <f t="shared" si="14"/>
        <v>0.86</v>
      </c>
      <c r="M172">
        <f t="shared" si="15"/>
        <v>0.76</v>
      </c>
      <c r="N172" t="str">
        <f t="shared" si="16"/>
        <v>❌ NO CAPAZ — Requiere mejora</v>
      </c>
      <c r="O172">
        <f t="shared" si="17"/>
        <v>0.65</v>
      </c>
    </row>
    <row r="173" spans="1:15" x14ac:dyDescent="0.3">
      <c r="A173" t="str">
        <f t="shared" si="12"/>
        <v>MED-172</v>
      </c>
      <c r="B173" t="str">
        <f>INDEX(Lotes!$A$2:$A$53,INT((ROW()-2)/5)+1)</f>
        <v>RETEX-2024-035</v>
      </c>
      <c r="C173" s="2">
        <f>INDEX(Lotes!$B$2:$B$53,INT((ROW()-2)/5)+1)</f>
        <v>46333</v>
      </c>
      <c r="D173">
        <f>INDEX(Lotes!$C$2:$C$53,INT((ROW()-2)/5)+1)</f>
        <v>45</v>
      </c>
      <c r="E173" t="str">
        <f>INDEX(Lotes!$E$2:$E$53,INT((ROW()-2)/5)+1)</f>
        <v>Poliéster</v>
      </c>
      <c r="F173">
        <v>98.89</v>
      </c>
      <c r="G173">
        <f>96</f>
        <v>96</v>
      </c>
      <c r="H173">
        <f>100</f>
        <v>100</v>
      </c>
      <c r="I173" t="str">
        <f t="shared" si="13"/>
        <v>✅ OK</v>
      </c>
      <c r="J173" s="6">
        <f>AVERAGE($F$2:F173)</f>
        <v>98.238488372093045</v>
      </c>
      <c r="K173">
        <f>IF(COUNTA($F$2:F173)&lt;20,"",_xlfn.STDEV.P($F$2:F173))</f>
        <v>0.77291582838739192</v>
      </c>
      <c r="L173">
        <f t="shared" si="14"/>
        <v>0.86</v>
      </c>
      <c r="M173">
        <f t="shared" si="15"/>
        <v>0.76</v>
      </c>
      <c r="N173" t="str">
        <f t="shared" si="16"/>
        <v>❌ NO CAPAZ — Requiere mejora</v>
      </c>
      <c r="O173">
        <f t="shared" si="17"/>
        <v>0.67</v>
      </c>
    </row>
    <row r="174" spans="1:15" x14ac:dyDescent="0.3">
      <c r="A174" t="str">
        <f t="shared" si="12"/>
        <v>MED-173</v>
      </c>
      <c r="B174" t="str">
        <f>INDEX(Lotes!$A$2:$A$53,INT((ROW()-2)/5)+1)</f>
        <v>RETEX-2024-035</v>
      </c>
      <c r="C174" s="2">
        <f>INDEX(Lotes!$B$2:$B$53,INT((ROW()-2)/5)+1)</f>
        <v>46333</v>
      </c>
      <c r="D174">
        <f>INDEX(Lotes!$C$2:$C$53,INT((ROW()-2)/5)+1)</f>
        <v>45</v>
      </c>
      <c r="E174" t="str">
        <f>INDEX(Lotes!$E$2:$E$53,INT((ROW()-2)/5)+1)</f>
        <v>Poliéster</v>
      </c>
      <c r="F174">
        <v>98.91</v>
      </c>
      <c r="G174">
        <f>96</f>
        <v>96</v>
      </c>
      <c r="H174">
        <f>100</f>
        <v>100</v>
      </c>
      <c r="I174" t="str">
        <f t="shared" si="13"/>
        <v>✅ OK</v>
      </c>
      <c r="J174" s="6">
        <f>AVERAGE($F$2:F174)</f>
        <v>98.242369942196561</v>
      </c>
      <c r="K174">
        <f>IF(COUNTA($F$2:F174)&lt;20,"",_xlfn.STDEV.P($F$2:F174))</f>
        <v>0.77235817982362187</v>
      </c>
      <c r="L174">
        <f t="shared" si="14"/>
        <v>0.86</v>
      </c>
      <c r="M174">
        <f t="shared" si="15"/>
        <v>0.76</v>
      </c>
      <c r="N174" t="str">
        <f t="shared" si="16"/>
        <v>❌ NO CAPAZ — Requiere mejora</v>
      </c>
      <c r="O174">
        <f t="shared" si="17"/>
        <v>0.48</v>
      </c>
    </row>
    <row r="175" spans="1:15" x14ac:dyDescent="0.3">
      <c r="A175" t="str">
        <f t="shared" si="12"/>
        <v>MED-174</v>
      </c>
      <c r="B175" t="str">
        <f>INDEX(Lotes!$A$2:$A$53,INT((ROW()-2)/5)+1)</f>
        <v>RETEX-2024-035</v>
      </c>
      <c r="C175" s="2">
        <f>INDEX(Lotes!$B$2:$B$53,INT((ROW()-2)/5)+1)</f>
        <v>46333</v>
      </c>
      <c r="D175">
        <f>INDEX(Lotes!$C$2:$C$53,INT((ROW()-2)/5)+1)</f>
        <v>45</v>
      </c>
      <c r="E175" t="str">
        <f>INDEX(Lotes!$E$2:$E$53,INT((ROW()-2)/5)+1)</f>
        <v>Poliéster</v>
      </c>
      <c r="F175">
        <v>98.73</v>
      </c>
      <c r="G175">
        <f>96</f>
        <v>96</v>
      </c>
      <c r="H175">
        <f>100</f>
        <v>100</v>
      </c>
      <c r="I175" t="str">
        <f t="shared" si="13"/>
        <v>✅ OK</v>
      </c>
      <c r="J175" s="6">
        <f>AVERAGE($F$2:F175)</f>
        <v>98.245172413793128</v>
      </c>
      <c r="K175">
        <f>IF(COUNTA($F$2:F175)&lt;20,"",_xlfn.STDEV.P($F$2:F175))</f>
        <v>0.77101718463930236</v>
      </c>
      <c r="L175">
        <f t="shared" si="14"/>
        <v>0.86</v>
      </c>
      <c r="M175">
        <f t="shared" si="15"/>
        <v>0.76</v>
      </c>
      <c r="N175" t="str">
        <f t="shared" si="16"/>
        <v>❌ NO CAPAZ — Requiere mejora</v>
      </c>
      <c r="O175">
        <f t="shared" si="17"/>
        <v>0.97</v>
      </c>
    </row>
    <row r="176" spans="1:15" x14ac:dyDescent="0.3">
      <c r="A176" t="str">
        <f t="shared" si="12"/>
        <v>MED-175</v>
      </c>
      <c r="B176" t="str">
        <f>INDEX(Lotes!$A$2:$A$53,INT((ROW()-2)/5)+1)</f>
        <v>RETEX-2024-035</v>
      </c>
      <c r="C176" s="2">
        <f>INDEX(Lotes!$B$2:$B$53,INT((ROW()-2)/5)+1)</f>
        <v>46333</v>
      </c>
      <c r="D176">
        <f>INDEX(Lotes!$C$2:$C$53,INT((ROW()-2)/5)+1)</f>
        <v>45</v>
      </c>
      <c r="E176" t="str">
        <f>INDEX(Lotes!$E$2:$E$53,INT((ROW()-2)/5)+1)</f>
        <v>Poliéster</v>
      </c>
      <c r="F176">
        <v>99.22</v>
      </c>
      <c r="G176">
        <f>96</f>
        <v>96</v>
      </c>
      <c r="H176">
        <f>100</f>
        <v>100</v>
      </c>
      <c r="I176" t="str">
        <f t="shared" si="13"/>
        <v>✅ OK</v>
      </c>
      <c r="J176" s="6">
        <f>AVERAGE($F$2:F176)</f>
        <v>98.250742857142882</v>
      </c>
      <c r="K176">
        <f>IF(COUNTA($F$2:F176)&lt;20,"",_xlfn.STDEV.P($F$2:F176))</f>
        <v>0.77231453040684839</v>
      </c>
      <c r="L176">
        <f t="shared" si="14"/>
        <v>0.86</v>
      </c>
      <c r="M176">
        <f t="shared" si="15"/>
        <v>0.75</v>
      </c>
      <c r="N176" t="str">
        <f t="shared" si="16"/>
        <v>❌ NO CAPAZ — Requiere mejora</v>
      </c>
      <c r="O176">
        <f t="shared" si="17"/>
        <v>-0.42</v>
      </c>
    </row>
    <row r="177" spans="1:15" x14ac:dyDescent="0.3">
      <c r="A177" t="str">
        <f t="shared" si="12"/>
        <v>MED-176</v>
      </c>
      <c r="B177" t="str">
        <f>INDEX(Lotes!$A$2:$A$53,INT((ROW()-2)/5)+1)</f>
        <v>RETEX-2024-036</v>
      </c>
      <c r="C177" s="2">
        <f>INDEX(Lotes!$B$2:$B$53,INT((ROW()-2)/5)+1)</f>
        <v>46340</v>
      </c>
      <c r="D177">
        <f>INDEX(Lotes!$C$2:$C$53,INT((ROW()-2)/5)+1)</f>
        <v>46</v>
      </c>
      <c r="E177" t="str">
        <f>INDEX(Lotes!$E$2:$E$53,INT((ROW()-2)/5)+1)</f>
        <v>Mezcla</v>
      </c>
      <c r="F177">
        <v>97.83</v>
      </c>
      <c r="G177">
        <f>96</f>
        <v>96</v>
      </c>
      <c r="H177">
        <f>100</f>
        <v>100</v>
      </c>
      <c r="I177" t="str">
        <f t="shared" si="13"/>
        <v>✅ OK</v>
      </c>
      <c r="J177" s="6">
        <f>AVERAGE($F$2:F177)</f>
        <v>98.248352272727303</v>
      </c>
      <c r="K177">
        <f>IF(COUNTA($F$2:F177)&lt;20,"",_xlfn.STDEV.P($F$2:F177))</f>
        <v>0.77076637687570859</v>
      </c>
      <c r="L177">
        <f t="shared" si="14"/>
        <v>0.86</v>
      </c>
      <c r="M177">
        <f t="shared" si="15"/>
        <v>0.76</v>
      </c>
      <c r="N177" t="str">
        <f t="shared" si="16"/>
        <v>❌ NO CAPAZ — Requiere mejora</v>
      </c>
      <c r="O177">
        <f t="shared" si="17"/>
        <v>0.57999999999999996</v>
      </c>
    </row>
    <row r="178" spans="1:15" x14ac:dyDescent="0.3">
      <c r="A178" t="str">
        <f t="shared" si="12"/>
        <v>MED-177</v>
      </c>
      <c r="B178" t="str">
        <f>INDEX(Lotes!$A$2:$A$53,INT((ROW()-2)/5)+1)</f>
        <v>RETEX-2024-036</v>
      </c>
      <c r="C178" s="2">
        <f>INDEX(Lotes!$B$2:$B$53,INT((ROW()-2)/5)+1)</f>
        <v>46340</v>
      </c>
      <c r="D178">
        <f>INDEX(Lotes!$C$2:$C$53,INT((ROW()-2)/5)+1)</f>
        <v>46</v>
      </c>
      <c r="E178" t="str">
        <f>INDEX(Lotes!$E$2:$E$53,INT((ROW()-2)/5)+1)</f>
        <v>Mezcla</v>
      </c>
      <c r="F178">
        <v>98.83</v>
      </c>
      <c r="G178">
        <f>96</f>
        <v>96</v>
      </c>
      <c r="H178">
        <f>100</f>
        <v>100</v>
      </c>
      <c r="I178" t="str">
        <f t="shared" si="13"/>
        <v>✅ OK</v>
      </c>
      <c r="J178" s="6">
        <f>AVERAGE($F$2:F178)</f>
        <v>98.251638418079139</v>
      </c>
      <c r="K178">
        <f>IF(COUNTA($F$2:F178)&lt;20,"",_xlfn.STDEV.P($F$2:F178))</f>
        <v>0.76982140734199966</v>
      </c>
      <c r="L178">
        <f t="shared" si="14"/>
        <v>0.87</v>
      </c>
      <c r="M178">
        <f t="shared" si="15"/>
        <v>0.76</v>
      </c>
      <c r="N178" t="str">
        <f t="shared" si="16"/>
        <v>❌ NO CAPAZ — Requiere mejora</v>
      </c>
      <c r="O178">
        <f t="shared" si="17"/>
        <v>-0.86</v>
      </c>
    </row>
    <row r="179" spans="1:15" x14ac:dyDescent="0.3">
      <c r="A179" t="str">
        <f t="shared" si="12"/>
        <v>MED-178</v>
      </c>
      <c r="B179" t="str">
        <f>INDEX(Lotes!$A$2:$A$53,INT((ROW()-2)/5)+1)</f>
        <v>RETEX-2024-036</v>
      </c>
      <c r="C179" s="2">
        <f>INDEX(Lotes!$B$2:$B$53,INT((ROW()-2)/5)+1)</f>
        <v>46340</v>
      </c>
      <c r="D179">
        <f>INDEX(Lotes!$C$2:$C$53,INT((ROW()-2)/5)+1)</f>
        <v>46</v>
      </c>
      <c r="E179" t="str">
        <f>INDEX(Lotes!$E$2:$E$53,INT((ROW()-2)/5)+1)</f>
        <v>Mezcla</v>
      </c>
      <c r="F179">
        <v>97.39</v>
      </c>
      <c r="G179">
        <f>96</f>
        <v>96</v>
      </c>
      <c r="H179">
        <f>100</f>
        <v>100</v>
      </c>
      <c r="I179" t="str">
        <f t="shared" si="13"/>
        <v>✅ OK</v>
      </c>
      <c r="J179" s="6">
        <f>AVERAGE($F$2:F179)</f>
        <v>98.24679775280903</v>
      </c>
      <c r="K179">
        <f>IF(COUNTA($F$2:F179)&lt;20,"",_xlfn.STDEV.P($F$2:F179))</f>
        <v>0.77035259225853492</v>
      </c>
      <c r="L179">
        <f t="shared" si="14"/>
        <v>0.87</v>
      </c>
      <c r="M179">
        <f t="shared" si="15"/>
        <v>0.76</v>
      </c>
      <c r="N179" t="str">
        <f t="shared" si="16"/>
        <v>❌ NO CAPAZ — Requiere mejora</v>
      </c>
      <c r="O179">
        <f t="shared" si="17"/>
        <v>-1.21</v>
      </c>
    </row>
    <row r="180" spans="1:15" x14ac:dyDescent="0.3">
      <c r="A180" t="str">
        <f t="shared" si="12"/>
        <v>MED-179</v>
      </c>
      <c r="B180" t="str">
        <f>INDEX(Lotes!$A$2:$A$53,INT((ROW()-2)/5)+1)</f>
        <v>RETEX-2024-036</v>
      </c>
      <c r="C180" s="2">
        <f>INDEX(Lotes!$B$2:$B$53,INT((ROW()-2)/5)+1)</f>
        <v>46340</v>
      </c>
      <c r="D180">
        <f>INDEX(Lotes!$C$2:$C$53,INT((ROW()-2)/5)+1)</f>
        <v>46</v>
      </c>
      <c r="E180" t="str">
        <f>INDEX(Lotes!$E$2:$E$53,INT((ROW()-2)/5)+1)</f>
        <v>Mezcla</v>
      </c>
      <c r="F180">
        <v>97.03</v>
      </c>
      <c r="G180">
        <f>96</f>
        <v>96</v>
      </c>
      <c r="H180">
        <f>100</f>
        <v>100</v>
      </c>
      <c r="I180" t="str">
        <f t="shared" si="13"/>
        <v>✅ OK</v>
      </c>
      <c r="J180" s="6">
        <f>AVERAGE($F$2:F180)</f>
        <v>98.240000000000038</v>
      </c>
      <c r="K180">
        <f>IF(COUNTA($F$2:F180)&lt;20,"",_xlfn.STDEV.P($F$2:F180))</f>
        <v>0.77353285167838737</v>
      </c>
      <c r="L180">
        <f t="shared" si="14"/>
        <v>0.86</v>
      </c>
      <c r="M180">
        <f t="shared" si="15"/>
        <v>0.76</v>
      </c>
      <c r="N180" t="str">
        <f t="shared" si="16"/>
        <v>❌ NO CAPAZ — Requiere mejora</v>
      </c>
      <c r="O180">
        <f t="shared" si="17"/>
        <v>0.92</v>
      </c>
    </row>
    <row r="181" spans="1:15" x14ac:dyDescent="0.3">
      <c r="A181" t="str">
        <f t="shared" si="12"/>
        <v>MED-180</v>
      </c>
      <c r="B181" t="str">
        <f>INDEX(Lotes!$A$2:$A$53,INT((ROW()-2)/5)+1)</f>
        <v>RETEX-2024-036</v>
      </c>
      <c r="C181" s="2">
        <f>INDEX(Lotes!$B$2:$B$53,INT((ROW()-2)/5)+1)</f>
        <v>46340</v>
      </c>
      <c r="D181">
        <f>INDEX(Lotes!$C$2:$C$53,INT((ROW()-2)/5)+1)</f>
        <v>46</v>
      </c>
      <c r="E181" t="str">
        <f>INDEX(Lotes!$E$2:$E$53,INT((ROW()-2)/5)+1)</f>
        <v>Mezcla</v>
      </c>
      <c r="F181">
        <v>99.17</v>
      </c>
      <c r="G181">
        <f>96</f>
        <v>96</v>
      </c>
      <c r="H181">
        <f>100</f>
        <v>100</v>
      </c>
      <c r="I181" t="str">
        <f t="shared" si="13"/>
        <v>✅ OK</v>
      </c>
      <c r="J181" s="6">
        <f>AVERAGE($F$2:F181)</f>
        <v>98.245166666666691</v>
      </c>
      <c r="K181">
        <f>IF(COUNTA($F$2:F181)&lt;20,"",_xlfn.STDEV.P($F$2:F181))</f>
        <v>0.77447220379071313</v>
      </c>
      <c r="L181">
        <f t="shared" si="14"/>
        <v>0.86</v>
      </c>
      <c r="M181">
        <f t="shared" si="15"/>
        <v>0.76</v>
      </c>
      <c r="N181" t="str">
        <f t="shared" si="16"/>
        <v>❌ NO CAPAZ — Requiere mejora</v>
      </c>
      <c r="O181">
        <f t="shared" si="17"/>
        <v>-0.42</v>
      </c>
    </row>
    <row r="182" spans="1:15" x14ac:dyDescent="0.3">
      <c r="A182" t="str">
        <f t="shared" si="12"/>
        <v>MED-181</v>
      </c>
      <c r="B182" t="str">
        <f>INDEX(Lotes!$A$2:$A$53,INT((ROW()-2)/5)+1)</f>
        <v>RETEX-2024-037</v>
      </c>
      <c r="C182" s="2">
        <f>INDEX(Lotes!$B$2:$B$53,INT((ROW()-2)/5)+1)</f>
        <v>46347</v>
      </c>
      <c r="D182">
        <f>INDEX(Lotes!$C$2:$C$53,INT((ROW()-2)/5)+1)</f>
        <v>47</v>
      </c>
      <c r="E182" t="str">
        <f>INDEX(Lotes!$E$2:$E$53,INT((ROW()-2)/5)+1)</f>
        <v>Algodón</v>
      </c>
      <c r="F182">
        <v>97.82</v>
      </c>
      <c r="G182">
        <f>96</f>
        <v>96</v>
      </c>
      <c r="H182">
        <f>100</f>
        <v>100</v>
      </c>
      <c r="I182" t="str">
        <f t="shared" si="13"/>
        <v>✅ OK</v>
      </c>
      <c r="J182" s="6">
        <f>AVERAGE($F$2:F182)</f>
        <v>98.24281767955803</v>
      </c>
      <c r="K182">
        <f>IF(COUNTA($F$2:F182)&lt;20,"",_xlfn.STDEV.P($F$2:F182))</f>
        <v>0.77297253238393215</v>
      </c>
      <c r="L182">
        <f t="shared" si="14"/>
        <v>0.86</v>
      </c>
      <c r="M182">
        <f t="shared" si="15"/>
        <v>0.76</v>
      </c>
      <c r="N182" t="str">
        <f t="shared" si="16"/>
        <v>❌ NO CAPAZ — Requiere mejora</v>
      </c>
      <c r="O182">
        <f t="shared" si="17"/>
        <v>0.2</v>
      </c>
    </row>
    <row r="183" spans="1:15" x14ac:dyDescent="0.3">
      <c r="A183" t="str">
        <f t="shared" si="12"/>
        <v>MED-182</v>
      </c>
      <c r="B183" t="str">
        <f>INDEX(Lotes!$A$2:$A$53,INT((ROW()-2)/5)+1)</f>
        <v>RETEX-2024-037</v>
      </c>
      <c r="C183" s="2">
        <f>INDEX(Lotes!$B$2:$B$53,INT((ROW()-2)/5)+1)</f>
        <v>46347</v>
      </c>
      <c r="D183">
        <f>INDEX(Lotes!$C$2:$C$53,INT((ROW()-2)/5)+1)</f>
        <v>47</v>
      </c>
      <c r="E183" t="str">
        <f>INDEX(Lotes!$E$2:$E$53,INT((ROW()-2)/5)+1)</f>
        <v>Algodón</v>
      </c>
      <c r="F183">
        <v>98.44</v>
      </c>
      <c r="G183">
        <f>96</f>
        <v>96</v>
      </c>
      <c r="H183">
        <f>100</f>
        <v>100</v>
      </c>
      <c r="I183" t="str">
        <f t="shared" si="13"/>
        <v>✅ OK</v>
      </c>
      <c r="J183" s="6">
        <f>AVERAGE($F$2:F183)</f>
        <v>98.243901098901119</v>
      </c>
      <c r="K183">
        <f>IF(COUNTA($F$2:F183)&lt;20,"",_xlfn.STDEV.P($F$2:F183))</f>
        <v>0.77098385204145603</v>
      </c>
      <c r="L183">
        <f t="shared" si="14"/>
        <v>0.86</v>
      </c>
      <c r="M183">
        <f t="shared" si="15"/>
        <v>0.76</v>
      </c>
      <c r="N183" t="str">
        <f t="shared" si="16"/>
        <v>❌ NO CAPAZ — Requiere mejora</v>
      </c>
      <c r="O183">
        <f t="shared" si="17"/>
        <v>-0.52</v>
      </c>
    </row>
    <row r="184" spans="1:15" x14ac:dyDescent="0.3">
      <c r="A184" t="str">
        <f t="shared" si="12"/>
        <v>MED-183</v>
      </c>
      <c r="B184" t="str">
        <f>INDEX(Lotes!$A$2:$A$53,INT((ROW()-2)/5)+1)</f>
        <v>RETEX-2024-037</v>
      </c>
      <c r="C184" s="2">
        <f>INDEX(Lotes!$B$2:$B$53,INT((ROW()-2)/5)+1)</f>
        <v>46347</v>
      </c>
      <c r="D184">
        <f>INDEX(Lotes!$C$2:$C$53,INT((ROW()-2)/5)+1)</f>
        <v>47</v>
      </c>
      <c r="E184" t="str">
        <f>INDEX(Lotes!$E$2:$E$53,INT((ROW()-2)/5)+1)</f>
        <v>Algodón</v>
      </c>
      <c r="F184">
        <v>97.72</v>
      </c>
      <c r="G184">
        <f>96</f>
        <v>96</v>
      </c>
      <c r="H184">
        <f>100</f>
        <v>100</v>
      </c>
      <c r="I184" t="str">
        <f t="shared" si="13"/>
        <v>✅ OK</v>
      </c>
      <c r="J184" s="6">
        <f>AVERAGE($F$2:F184)</f>
        <v>98.241038251366149</v>
      </c>
      <c r="K184">
        <f>IF(COUNTA($F$2:F184)&lt;20,"",_xlfn.STDEV.P($F$2:F184))</f>
        <v>0.76984386584021369</v>
      </c>
      <c r="L184">
        <f t="shared" si="14"/>
        <v>0.87</v>
      </c>
      <c r="M184">
        <f t="shared" si="15"/>
        <v>0.76</v>
      </c>
      <c r="N184" t="str">
        <f t="shared" si="16"/>
        <v>❌ NO CAPAZ — Requiere mejora</v>
      </c>
      <c r="O184">
        <f t="shared" si="17"/>
        <v>0.43</v>
      </c>
    </row>
    <row r="185" spans="1:15" x14ac:dyDescent="0.3">
      <c r="A185" t="str">
        <f t="shared" si="12"/>
        <v>MED-184</v>
      </c>
      <c r="B185" t="str">
        <f>INDEX(Lotes!$A$2:$A$53,INT((ROW()-2)/5)+1)</f>
        <v>RETEX-2024-037</v>
      </c>
      <c r="C185" s="2">
        <f>INDEX(Lotes!$B$2:$B$53,INT((ROW()-2)/5)+1)</f>
        <v>46347</v>
      </c>
      <c r="D185">
        <f>INDEX(Lotes!$C$2:$C$53,INT((ROW()-2)/5)+1)</f>
        <v>47</v>
      </c>
      <c r="E185" t="str">
        <f>INDEX(Lotes!$E$2:$E$53,INT((ROW()-2)/5)+1)</f>
        <v>Algodón</v>
      </c>
      <c r="F185">
        <v>98.67</v>
      </c>
      <c r="G185">
        <f>96</f>
        <v>96</v>
      </c>
      <c r="H185">
        <f>100</f>
        <v>100</v>
      </c>
      <c r="I185" t="str">
        <f t="shared" si="13"/>
        <v>✅ OK</v>
      </c>
      <c r="J185" s="6">
        <f>AVERAGE($F$2:F185)</f>
        <v>98.243369565217407</v>
      </c>
      <c r="K185">
        <f>IF(COUNTA($F$2:F185)&lt;20,"",_xlfn.STDEV.P($F$2:F185))</f>
        <v>0.76839651954419752</v>
      </c>
      <c r="L185">
        <f t="shared" si="14"/>
        <v>0.87</v>
      </c>
      <c r="M185">
        <f t="shared" si="15"/>
        <v>0.76</v>
      </c>
      <c r="N185" t="str">
        <f t="shared" si="16"/>
        <v>❌ NO CAPAZ — Requiere mejora</v>
      </c>
      <c r="O185">
        <f t="shared" si="17"/>
        <v>0.95</v>
      </c>
    </row>
    <row r="186" spans="1:15" x14ac:dyDescent="0.3">
      <c r="A186" t="str">
        <f t="shared" si="12"/>
        <v>MED-185</v>
      </c>
      <c r="B186" t="str">
        <f>INDEX(Lotes!$A$2:$A$53,INT((ROW()-2)/5)+1)</f>
        <v>RETEX-2024-037</v>
      </c>
      <c r="C186" s="2">
        <f>INDEX(Lotes!$B$2:$B$53,INT((ROW()-2)/5)+1)</f>
        <v>46347</v>
      </c>
      <c r="D186">
        <f>INDEX(Lotes!$C$2:$C$53,INT((ROW()-2)/5)+1)</f>
        <v>47</v>
      </c>
      <c r="E186" t="str">
        <f>INDEX(Lotes!$E$2:$E$53,INT((ROW()-2)/5)+1)</f>
        <v>Algodón</v>
      </c>
      <c r="F186">
        <v>99.2</v>
      </c>
      <c r="G186">
        <f>96</f>
        <v>96</v>
      </c>
      <c r="H186">
        <f>100</f>
        <v>100</v>
      </c>
      <c r="I186" t="str">
        <f t="shared" si="13"/>
        <v>✅ OK</v>
      </c>
      <c r="J186" s="6">
        <f>AVERAGE($F$2:F186)</f>
        <v>98.24854054054056</v>
      </c>
      <c r="K186">
        <f>IF(COUNTA($F$2:F186)&lt;20,"",_xlfn.STDEV.P($F$2:F186))</f>
        <v>0.76952040503281616</v>
      </c>
      <c r="L186">
        <f t="shared" si="14"/>
        <v>0.87</v>
      </c>
      <c r="M186">
        <f t="shared" si="15"/>
        <v>0.76</v>
      </c>
      <c r="N186" t="str">
        <f t="shared" si="16"/>
        <v>❌ NO CAPAZ — Requiere mejora</v>
      </c>
      <c r="O186">
        <f t="shared" si="17"/>
        <v>0.99</v>
      </c>
    </row>
    <row r="187" spans="1:15" x14ac:dyDescent="0.3">
      <c r="A187" t="str">
        <f t="shared" si="12"/>
        <v>MED-186</v>
      </c>
      <c r="B187" t="str">
        <f>INDEX(Lotes!$A$2:$A$53,INT((ROW()-2)/5)+1)</f>
        <v>RETEX-2024-038</v>
      </c>
      <c r="C187" s="2">
        <f>INDEX(Lotes!$B$2:$B$53,INT((ROW()-2)/5)+1)</f>
        <v>46354</v>
      </c>
      <c r="D187">
        <f>INDEX(Lotes!$C$2:$C$53,INT((ROW()-2)/5)+1)</f>
        <v>48</v>
      </c>
      <c r="E187" t="str">
        <f>INDEX(Lotes!$E$2:$E$53,INT((ROW()-2)/5)+1)</f>
        <v>Poliéster</v>
      </c>
      <c r="F187">
        <v>99.24</v>
      </c>
      <c r="G187">
        <f>96</f>
        <v>96</v>
      </c>
      <c r="H187">
        <f>100</f>
        <v>100</v>
      </c>
      <c r="I187" t="str">
        <f t="shared" si="13"/>
        <v>✅ OK</v>
      </c>
      <c r="J187" s="6">
        <f>AVERAGE($F$2:F187)</f>
        <v>98.25387096774196</v>
      </c>
      <c r="K187">
        <f>IF(COUNTA($F$2:F187)&lt;20,"",_xlfn.STDEV.P($F$2:F187))</f>
        <v>0.77086605709055045</v>
      </c>
      <c r="L187">
        <f t="shared" si="14"/>
        <v>0.86</v>
      </c>
      <c r="M187">
        <f t="shared" si="15"/>
        <v>0.76</v>
      </c>
      <c r="N187" t="str">
        <f t="shared" si="16"/>
        <v>❌ NO CAPAZ — Requiere mejora</v>
      </c>
      <c r="O187">
        <f t="shared" si="17"/>
        <v>0.2</v>
      </c>
    </row>
    <row r="188" spans="1:15" x14ac:dyDescent="0.3">
      <c r="A188" t="str">
        <f t="shared" si="12"/>
        <v>MED-187</v>
      </c>
      <c r="B188" t="str">
        <f>INDEX(Lotes!$A$2:$A$53,INT((ROW()-2)/5)+1)</f>
        <v>RETEX-2024-038</v>
      </c>
      <c r="C188" s="2">
        <f>INDEX(Lotes!$B$2:$B$53,INT((ROW()-2)/5)+1)</f>
        <v>46354</v>
      </c>
      <c r="D188">
        <f>INDEX(Lotes!$C$2:$C$53,INT((ROW()-2)/5)+1)</f>
        <v>48</v>
      </c>
      <c r="E188" t="str">
        <f>INDEX(Lotes!$E$2:$E$53,INT((ROW()-2)/5)+1)</f>
        <v>Poliéster</v>
      </c>
      <c r="F188">
        <v>98.45</v>
      </c>
      <c r="G188">
        <f>96</f>
        <v>96</v>
      </c>
      <c r="H188">
        <f>100</f>
        <v>100</v>
      </c>
      <c r="I188" t="str">
        <f t="shared" si="13"/>
        <v>✅ OK</v>
      </c>
      <c r="J188" s="6">
        <f>AVERAGE($F$2:F188)</f>
        <v>98.254919786096281</v>
      </c>
      <c r="K188">
        <f>IF(COUNTA($F$2:F188)&lt;20,"",_xlfn.STDEV.P($F$2:F188))</f>
        <v>0.7689352100158322</v>
      </c>
      <c r="L188">
        <f t="shared" si="14"/>
        <v>0.87</v>
      </c>
      <c r="M188">
        <f t="shared" si="15"/>
        <v>0.76</v>
      </c>
      <c r="N188" t="str">
        <f t="shared" si="16"/>
        <v>❌ NO CAPAZ — Requiere mejora</v>
      </c>
      <c r="O188">
        <f t="shared" si="17"/>
        <v>0.65</v>
      </c>
    </row>
    <row r="189" spans="1:15" x14ac:dyDescent="0.3">
      <c r="A189" t="str">
        <f t="shared" si="12"/>
        <v>MED-188</v>
      </c>
      <c r="B189" t="str">
        <f>INDEX(Lotes!$A$2:$A$53,INT((ROW()-2)/5)+1)</f>
        <v>RETEX-2024-038</v>
      </c>
      <c r="C189" s="2">
        <f>INDEX(Lotes!$B$2:$B$53,INT((ROW()-2)/5)+1)</f>
        <v>46354</v>
      </c>
      <c r="D189">
        <f>INDEX(Lotes!$C$2:$C$53,INT((ROW()-2)/5)+1)</f>
        <v>48</v>
      </c>
      <c r="E189" t="str">
        <f>INDEX(Lotes!$E$2:$E$53,INT((ROW()-2)/5)+1)</f>
        <v>Poliéster</v>
      </c>
      <c r="F189">
        <v>98.91</v>
      </c>
      <c r="G189">
        <f>96</f>
        <v>96</v>
      </c>
      <c r="H189">
        <f>100</f>
        <v>100</v>
      </c>
      <c r="I189" t="str">
        <f t="shared" si="13"/>
        <v>✅ OK</v>
      </c>
      <c r="J189" s="6">
        <f>AVERAGE($F$2:F189)</f>
        <v>98.258404255319178</v>
      </c>
      <c r="K189">
        <f>IF(COUNTA($F$2:F189)&lt;20,"",_xlfn.STDEV.P($F$2:F189))</f>
        <v>0.76836632884389244</v>
      </c>
      <c r="L189">
        <f t="shared" si="14"/>
        <v>0.87</v>
      </c>
      <c r="M189">
        <f t="shared" si="15"/>
        <v>0.76</v>
      </c>
      <c r="N189" t="str">
        <f t="shared" si="16"/>
        <v>❌ NO CAPAZ — Requiere mejora</v>
      </c>
      <c r="O189">
        <f t="shared" si="17"/>
        <v>0.33</v>
      </c>
    </row>
    <row r="190" spans="1:15" x14ac:dyDescent="0.3">
      <c r="A190" t="str">
        <f t="shared" si="12"/>
        <v>MED-189</v>
      </c>
      <c r="B190" t="str">
        <f>INDEX(Lotes!$A$2:$A$53,INT((ROW()-2)/5)+1)</f>
        <v>RETEX-2024-038</v>
      </c>
      <c r="C190" s="2">
        <f>INDEX(Lotes!$B$2:$B$53,INT((ROW()-2)/5)+1)</f>
        <v>46354</v>
      </c>
      <c r="D190">
        <f>INDEX(Lotes!$C$2:$C$53,INT((ROW()-2)/5)+1)</f>
        <v>48</v>
      </c>
      <c r="E190" t="str">
        <f>INDEX(Lotes!$E$2:$E$53,INT((ROW()-2)/5)+1)</f>
        <v>Poliéster</v>
      </c>
      <c r="F190">
        <v>98.59</v>
      </c>
      <c r="G190">
        <f>96</f>
        <v>96</v>
      </c>
      <c r="H190">
        <f>100</f>
        <v>100</v>
      </c>
      <c r="I190" t="str">
        <f t="shared" si="13"/>
        <v>✅ OK</v>
      </c>
      <c r="J190" s="6">
        <f>AVERAGE($F$2:F190)</f>
        <v>98.260158730158764</v>
      </c>
      <c r="K190">
        <f>IF(COUNTA($F$2:F190)&lt;20,"",_xlfn.STDEV.P($F$2:F190))</f>
        <v>0.76670840203204693</v>
      </c>
      <c r="L190">
        <f t="shared" si="14"/>
        <v>0.87</v>
      </c>
      <c r="M190">
        <f t="shared" si="15"/>
        <v>0.76</v>
      </c>
      <c r="N190" t="str">
        <f t="shared" si="16"/>
        <v>❌ NO CAPAZ — Requiere mejora</v>
      </c>
      <c r="O190">
        <f t="shared" si="17"/>
        <v>0.47</v>
      </c>
    </row>
    <row r="191" spans="1:15" x14ac:dyDescent="0.3">
      <c r="A191" t="str">
        <f t="shared" si="12"/>
        <v>MED-190</v>
      </c>
      <c r="B191" t="str">
        <f>INDEX(Lotes!$A$2:$A$53,INT((ROW()-2)/5)+1)</f>
        <v>RETEX-2024-038</v>
      </c>
      <c r="C191" s="2">
        <f>INDEX(Lotes!$B$2:$B$53,INT((ROW()-2)/5)+1)</f>
        <v>46354</v>
      </c>
      <c r="D191">
        <f>INDEX(Lotes!$C$2:$C$53,INT((ROW()-2)/5)+1)</f>
        <v>48</v>
      </c>
      <c r="E191" t="str">
        <f>INDEX(Lotes!$E$2:$E$53,INT((ROW()-2)/5)+1)</f>
        <v>Poliéster</v>
      </c>
      <c r="F191">
        <v>98.73</v>
      </c>
      <c r="G191">
        <f>96</f>
        <v>96</v>
      </c>
      <c r="H191">
        <f>100</f>
        <v>100</v>
      </c>
      <c r="I191" t="str">
        <f t="shared" si="13"/>
        <v>✅ OK</v>
      </c>
      <c r="J191" s="6">
        <f>AVERAGE($F$2:F191)</f>
        <v>98.262631578947392</v>
      </c>
      <c r="K191">
        <f>IF(COUNTA($F$2:F191)&lt;20,"",_xlfn.STDEV.P($F$2:F191))</f>
        <v>0.76544340163596203</v>
      </c>
      <c r="L191">
        <f t="shared" si="14"/>
        <v>0.87</v>
      </c>
      <c r="M191">
        <f t="shared" si="15"/>
        <v>0.76</v>
      </c>
      <c r="N191" t="str">
        <f t="shared" si="16"/>
        <v>❌ NO CAPAZ — Requiere mejora</v>
      </c>
      <c r="O191">
        <f t="shared" si="17"/>
        <v>-0.47</v>
      </c>
    </row>
    <row r="192" spans="1:15" x14ac:dyDescent="0.3">
      <c r="A192" t="str">
        <f t="shared" si="12"/>
        <v>MED-191</v>
      </c>
      <c r="B192" t="str">
        <f>INDEX(Lotes!$A$2:$A$53,INT((ROW()-2)/5)+1)</f>
        <v>RETEX-2024-039</v>
      </c>
      <c r="C192" s="2">
        <f>INDEX(Lotes!$B$2:$B$53,INT((ROW()-2)/5)+1)</f>
        <v>46361</v>
      </c>
      <c r="D192">
        <f>INDEX(Lotes!$C$2:$C$53,INT((ROW()-2)/5)+1)</f>
        <v>49</v>
      </c>
      <c r="E192" t="str">
        <f>INDEX(Lotes!$E$2:$E$53,INT((ROW()-2)/5)+1)</f>
        <v>Mezcla</v>
      </c>
      <c r="F192">
        <v>97.79</v>
      </c>
      <c r="G192">
        <f>96</f>
        <v>96</v>
      </c>
      <c r="H192">
        <f>100</f>
        <v>100</v>
      </c>
      <c r="I192" t="str">
        <f t="shared" si="13"/>
        <v>✅ OK</v>
      </c>
      <c r="J192" s="6">
        <f>AVERAGE($F$2:F192)</f>
        <v>98.260157068062853</v>
      </c>
      <c r="K192">
        <f>IF(COUNTA($F$2:F192)&lt;20,"",_xlfn.STDEV.P($F$2:F192))</f>
        <v>0.76419856828537247</v>
      </c>
      <c r="L192">
        <f t="shared" si="14"/>
        <v>0.87</v>
      </c>
      <c r="M192">
        <f t="shared" si="15"/>
        <v>0.76</v>
      </c>
      <c r="N192" t="str">
        <f t="shared" si="16"/>
        <v>❌ NO CAPAZ — Requiere mejora</v>
      </c>
      <c r="O192">
        <f t="shared" si="17"/>
        <v>-0.91</v>
      </c>
    </row>
    <row r="193" spans="1:15" x14ac:dyDescent="0.3">
      <c r="A193" t="str">
        <f t="shared" si="12"/>
        <v>MED-192</v>
      </c>
      <c r="B193" t="str">
        <f>INDEX(Lotes!$A$2:$A$53,INT((ROW()-2)/5)+1)</f>
        <v>RETEX-2024-039</v>
      </c>
      <c r="C193" s="2">
        <f>INDEX(Lotes!$B$2:$B$53,INT((ROW()-2)/5)+1)</f>
        <v>46361</v>
      </c>
      <c r="D193">
        <f>INDEX(Lotes!$C$2:$C$53,INT((ROW()-2)/5)+1)</f>
        <v>49</v>
      </c>
      <c r="E193" t="str">
        <f>INDEX(Lotes!$E$2:$E$53,INT((ROW()-2)/5)+1)</f>
        <v>Mezcla</v>
      </c>
      <c r="F193">
        <v>97.35</v>
      </c>
      <c r="G193">
        <f>96</f>
        <v>96</v>
      </c>
      <c r="H193">
        <f>100</f>
        <v>100</v>
      </c>
      <c r="I193" t="str">
        <f t="shared" si="13"/>
        <v>✅ OK</v>
      </c>
      <c r="J193" s="6">
        <f>AVERAGE($F$2:F193)</f>
        <v>98.25541666666669</v>
      </c>
      <c r="K193">
        <f>IF(COUNTA($F$2:F193)&lt;20,"",_xlfn.STDEV.P($F$2:F193))</f>
        <v>0.76501622622588106</v>
      </c>
      <c r="L193">
        <f t="shared" si="14"/>
        <v>0.87</v>
      </c>
      <c r="M193">
        <f t="shared" si="15"/>
        <v>0.76</v>
      </c>
      <c r="N193" t="str">
        <f t="shared" si="16"/>
        <v>❌ NO CAPAZ — Requiere mejora</v>
      </c>
      <c r="O193">
        <f t="shared" si="17"/>
        <v>-0.44</v>
      </c>
    </row>
    <row r="194" spans="1:15" x14ac:dyDescent="0.3">
      <c r="A194" t="str">
        <f t="shared" si="12"/>
        <v>MED-193</v>
      </c>
      <c r="B194" t="str">
        <f>INDEX(Lotes!$A$2:$A$53,INT((ROW()-2)/5)+1)</f>
        <v>RETEX-2024-039</v>
      </c>
      <c r="C194" s="2">
        <f>INDEX(Lotes!$B$2:$B$53,INT((ROW()-2)/5)+1)</f>
        <v>46361</v>
      </c>
      <c r="D194">
        <f>INDEX(Lotes!$C$2:$C$53,INT((ROW()-2)/5)+1)</f>
        <v>49</v>
      </c>
      <c r="E194" t="str">
        <f>INDEX(Lotes!$E$2:$E$53,INT((ROW()-2)/5)+1)</f>
        <v>Mezcla</v>
      </c>
      <c r="F194">
        <v>97.81</v>
      </c>
      <c r="G194">
        <f>96</f>
        <v>96</v>
      </c>
      <c r="H194">
        <f>100</f>
        <v>100</v>
      </c>
      <c r="I194" t="str">
        <f t="shared" si="13"/>
        <v>✅ OK</v>
      </c>
      <c r="J194" s="6">
        <f>AVERAGE($F$2:F194)</f>
        <v>98.253108808290179</v>
      </c>
      <c r="K194">
        <f>IF(COUNTA($F$2:F194)&lt;20,"",_xlfn.STDEV.P($F$2:F194))</f>
        <v>0.76370156228965358</v>
      </c>
      <c r="L194">
        <f t="shared" si="14"/>
        <v>0.87</v>
      </c>
      <c r="M194">
        <f t="shared" si="15"/>
        <v>0.76</v>
      </c>
      <c r="N194" t="str">
        <f t="shared" si="16"/>
        <v>❌ NO CAPAZ — Requiere mejora</v>
      </c>
      <c r="O194">
        <f t="shared" si="17"/>
        <v>0.6</v>
      </c>
    </row>
    <row r="195" spans="1:15" x14ac:dyDescent="0.3">
      <c r="A195" t="str">
        <f t="shared" ref="A195:A258" si="18">"MED-"&amp;TEXT(ROW()-1,"000")</f>
        <v>MED-194</v>
      </c>
      <c r="B195" t="str">
        <f>INDEX(Lotes!$A$2:$A$53,INT((ROW()-2)/5)+1)</f>
        <v>RETEX-2024-039</v>
      </c>
      <c r="C195" s="2">
        <f>INDEX(Lotes!$B$2:$B$53,INT((ROW()-2)/5)+1)</f>
        <v>46361</v>
      </c>
      <c r="D195">
        <f>INDEX(Lotes!$C$2:$C$53,INT((ROW()-2)/5)+1)</f>
        <v>49</v>
      </c>
      <c r="E195" t="str">
        <f>INDEX(Lotes!$E$2:$E$53,INT((ROW()-2)/5)+1)</f>
        <v>Mezcla</v>
      </c>
      <c r="F195">
        <v>98.86</v>
      </c>
      <c r="G195">
        <f>96</f>
        <v>96</v>
      </c>
      <c r="H195">
        <f>100</f>
        <v>100</v>
      </c>
      <c r="I195" t="str">
        <f t="shared" ref="I195:I258" si="19">IF(F195&lt;G195,"❌ NOK - Bajo límite",IF(F195&gt;H195,"❌ NOK - Sobre límite","✅ OK"))</f>
        <v>✅ OK</v>
      </c>
      <c r="J195" s="6">
        <f>AVERAGE($F$2:F195)</f>
        <v>98.256237113402094</v>
      </c>
      <c r="K195">
        <f>IF(COUNTA($F$2:F195)&lt;20,"",_xlfn.STDEV.P($F$2:F195))</f>
        <v>0.76296948734703351</v>
      </c>
      <c r="L195">
        <f t="shared" ref="L195:L258" si="20">IF(K195="","",ROUND((H195-G195)/(6*K195),2))</f>
        <v>0.87</v>
      </c>
      <c r="M195">
        <f t="shared" ref="M195:M258" si="21">IF(K195="","",ROUND(MIN((H195-J195)/(3*K195),(J195-G195)/(3*K195)),2))</f>
        <v>0.76</v>
      </c>
      <c r="N195" t="str">
        <f t="shared" ref="N195:N258" si="22">IF(M195="","⏳ Acumulando datos",
    IF(M195&gt;=1.33,"✅ CAPAZ",
    IF(M195&gt;=1,"⚠️ MARGINAL",
    IF(M195&gt;=0.67,"❌ NO CAPAZ — Requiere mejora",
    "🚨 CRÍTICO — Acción inmediata"))))</f>
        <v>❌ NO CAPAZ — Requiere mejora</v>
      </c>
      <c r="O195">
        <f t="shared" ref="O195:O258" si="23">IF(J196="","",ROUND(F196-J196,2))</f>
        <v>-1.18</v>
      </c>
    </row>
    <row r="196" spans="1:15" x14ac:dyDescent="0.3">
      <c r="A196" t="str">
        <f t="shared" si="18"/>
        <v>MED-195</v>
      </c>
      <c r="B196" t="str">
        <f>INDEX(Lotes!$A$2:$A$53,INT((ROW()-2)/5)+1)</f>
        <v>RETEX-2024-039</v>
      </c>
      <c r="C196" s="2">
        <f>INDEX(Lotes!$B$2:$B$53,INT((ROW()-2)/5)+1)</f>
        <v>46361</v>
      </c>
      <c r="D196">
        <f>INDEX(Lotes!$C$2:$C$53,INT((ROW()-2)/5)+1)</f>
        <v>49</v>
      </c>
      <c r="E196" t="str">
        <f>INDEX(Lotes!$E$2:$E$53,INT((ROW()-2)/5)+1)</f>
        <v>Mezcla</v>
      </c>
      <c r="F196">
        <v>97.07</v>
      </c>
      <c r="G196">
        <f>96</f>
        <v>96</v>
      </c>
      <c r="H196">
        <f>100</f>
        <v>100</v>
      </c>
      <c r="I196" t="str">
        <f t="shared" si="19"/>
        <v>✅ OK</v>
      </c>
      <c r="J196" s="6">
        <f>AVERAGE($F$2:F196)</f>
        <v>98.250153846153879</v>
      </c>
      <c r="K196">
        <f>IF(COUNTA($F$2:F196)&lt;20,"",_xlfn.STDEV.P($F$2:F196))</f>
        <v>0.76571299230702006</v>
      </c>
      <c r="L196">
        <f t="shared" si="20"/>
        <v>0.87</v>
      </c>
      <c r="M196">
        <f t="shared" si="21"/>
        <v>0.76</v>
      </c>
      <c r="N196" t="str">
        <f t="shared" si="22"/>
        <v>❌ NO CAPAZ — Requiere mejora</v>
      </c>
      <c r="O196">
        <f t="shared" si="23"/>
        <v>0.95</v>
      </c>
    </row>
    <row r="197" spans="1:15" x14ac:dyDescent="0.3">
      <c r="A197" t="str">
        <f t="shared" si="18"/>
        <v>MED-196</v>
      </c>
      <c r="B197" t="str">
        <f>INDEX(Lotes!$A$2:$A$53,INT((ROW()-2)/5)+1)</f>
        <v>RETEX-2024-040</v>
      </c>
      <c r="C197" s="2">
        <f>INDEX(Lotes!$B$2:$B$53,INT((ROW()-2)/5)+1)</f>
        <v>46368</v>
      </c>
      <c r="D197">
        <f>INDEX(Lotes!$C$2:$C$53,INT((ROW()-2)/5)+1)</f>
        <v>50</v>
      </c>
      <c r="E197" t="str">
        <f>INDEX(Lotes!$E$2:$E$53,INT((ROW()-2)/5)+1)</f>
        <v>Algodón</v>
      </c>
      <c r="F197">
        <v>99.21</v>
      </c>
      <c r="G197">
        <f>96</f>
        <v>96</v>
      </c>
      <c r="H197">
        <f>100</f>
        <v>100</v>
      </c>
      <c r="I197" t="str">
        <f t="shared" si="19"/>
        <v>✅ OK</v>
      </c>
      <c r="J197" s="6">
        <f>AVERAGE($F$2:F197)</f>
        <v>98.255051020408189</v>
      </c>
      <c r="K197">
        <f>IF(COUNTA($F$2:F197)&lt;20,"",_xlfn.STDEV.P($F$2:F197))</f>
        <v>0.76681257684597348</v>
      </c>
      <c r="L197">
        <f t="shared" si="20"/>
        <v>0.87</v>
      </c>
      <c r="M197">
        <f t="shared" si="21"/>
        <v>0.76</v>
      </c>
      <c r="N197" t="str">
        <f t="shared" si="22"/>
        <v>❌ NO CAPAZ — Requiere mejora</v>
      </c>
      <c r="O197">
        <f t="shared" si="23"/>
        <v>-7.0000000000000007E-2</v>
      </c>
    </row>
    <row r="198" spans="1:15" x14ac:dyDescent="0.3">
      <c r="A198" t="str">
        <f t="shared" si="18"/>
        <v>MED-197</v>
      </c>
      <c r="B198" t="str">
        <f>INDEX(Lotes!$A$2:$A$53,INT((ROW()-2)/5)+1)</f>
        <v>RETEX-2024-040</v>
      </c>
      <c r="C198" s="2">
        <f>INDEX(Lotes!$B$2:$B$53,INT((ROW()-2)/5)+1)</f>
        <v>46368</v>
      </c>
      <c r="D198">
        <f>INDEX(Lotes!$C$2:$C$53,INT((ROW()-2)/5)+1)</f>
        <v>50</v>
      </c>
      <c r="E198" t="str">
        <f>INDEX(Lotes!$E$2:$E$53,INT((ROW()-2)/5)+1)</f>
        <v>Algodón</v>
      </c>
      <c r="F198">
        <v>98.18</v>
      </c>
      <c r="G198">
        <f>96</f>
        <v>96</v>
      </c>
      <c r="H198">
        <f>100</f>
        <v>100</v>
      </c>
      <c r="I198" t="str">
        <f t="shared" si="19"/>
        <v>✅ OK</v>
      </c>
      <c r="J198" s="6">
        <f>AVERAGE($F$2:F198)</f>
        <v>98.254670050761447</v>
      </c>
      <c r="K198">
        <f>IF(COUNTA($F$2:F198)&lt;20,"",_xlfn.STDEV.P($F$2:F198))</f>
        <v>0.76488247182297708</v>
      </c>
      <c r="L198">
        <f t="shared" si="20"/>
        <v>0.87</v>
      </c>
      <c r="M198">
        <f t="shared" si="21"/>
        <v>0.76</v>
      </c>
      <c r="N198" t="str">
        <f t="shared" si="22"/>
        <v>❌ NO CAPAZ — Requiere mejora</v>
      </c>
      <c r="O198">
        <f t="shared" si="23"/>
        <v>-0.01</v>
      </c>
    </row>
    <row r="199" spans="1:15" x14ac:dyDescent="0.3">
      <c r="A199" t="str">
        <f t="shared" si="18"/>
        <v>MED-198</v>
      </c>
      <c r="B199" t="str">
        <f>INDEX(Lotes!$A$2:$A$53,INT((ROW()-2)/5)+1)</f>
        <v>RETEX-2024-040</v>
      </c>
      <c r="C199" s="2">
        <f>INDEX(Lotes!$B$2:$B$53,INT((ROW()-2)/5)+1)</f>
        <v>46368</v>
      </c>
      <c r="D199">
        <f>INDEX(Lotes!$C$2:$C$53,INT((ROW()-2)/5)+1)</f>
        <v>50</v>
      </c>
      <c r="E199" t="str">
        <f>INDEX(Lotes!$E$2:$E$53,INT((ROW()-2)/5)+1)</f>
        <v>Algodón</v>
      </c>
      <c r="F199">
        <v>98.24</v>
      </c>
      <c r="G199">
        <f>96</f>
        <v>96</v>
      </c>
      <c r="H199">
        <f>100</f>
        <v>100</v>
      </c>
      <c r="I199" t="str">
        <f t="shared" si="19"/>
        <v>✅ OK</v>
      </c>
      <c r="J199" s="6">
        <f>AVERAGE($F$2:F199)</f>
        <v>98.254595959595989</v>
      </c>
      <c r="K199">
        <f>IF(COUNTA($F$2:F199)&lt;20,"",_xlfn.STDEV.P($F$2:F199))</f>
        <v>0.76294921418009098</v>
      </c>
      <c r="L199">
        <f t="shared" si="20"/>
        <v>0.87</v>
      </c>
      <c r="M199">
        <f t="shared" si="21"/>
        <v>0.76</v>
      </c>
      <c r="N199" t="str">
        <f t="shared" si="22"/>
        <v>❌ NO CAPAZ — Requiere mejora</v>
      </c>
      <c r="O199">
        <f t="shared" si="23"/>
        <v>-0.26</v>
      </c>
    </row>
    <row r="200" spans="1:15" x14ac:dyDescent="0.3">
      <c r="A200" t="str">
        <f t="shared" si="18"/>
        <v>MED-199</v>
      </c>
      <c r="B200" t="str">
        <f>INDEX(Lotes!$A$2:$A$53,INT((ROW()-2)/5)+1)</f>
        <v>RETEX-2024-040</v>
      </c>
      <c r="C200" s="2">
        <f>INDEX(Lotes!$B$2:$B$53,INT((ROW()-2)/5)+1)</f>
        <v>46368</v>
      </c>
      <c r="D200">
        <f>INDEX(Lotes!$C$2:$C$53,INT((ROW()-2)/5)+1)</f>
        <v>50</v>
      </c>
      <c r="E200" t="str">
        <f>INDEX(Lotes!$E$2:$E$53,INT((ROW()-2)/5)+1)</f>
        <v>Algodón</v>
      </c>
      <c r="F200">
        <v>97.99</v>
      </c>
      <c r="G200">
        <f>96</f>
        <v>96</v>
      </c>
      <c r="H200">
        <f>100</f>
        <v>100</v>
      </c>
      <c r="I200" t="str">
        <f t="shared" si="19"/>
        <v>✅ OK</v>
      </c>
      <c r="J200" s="6">
        <f>AVERAGE($F$2:F200)</f>
        <v>98.253266331658338</v>
      </c>
      <c r="K200">
        <f>IF(COUNTA($F$2:F200)&lt;20,"",_xlfn.STDEV.P($F$2:F200))</f>
        <v>0.76125978926769156</v>
      </c>
      <c r="L200">
        <f t="shared" si="20"/>
        <v>0.88</v>
      </c>
      <c r="M200">
        <f t="shared" si="21"/>
        <v>0.76</v>
      </c>
      <c r="N200" t="str">
        <f t="shared" si="22"/>
        <v>❌ NO CAPAZ — Requiere mejora</v>
      </c>
      <c r="O200">
        <f t="shared" si="23"/>
        <v>-0.08</v>
      </c>
    </row>
    <row r="201" spans="1:15" x14ac:dyDescent="0.3">
      <c r="A201" t="str">
        <f t="shared" si="18"/>
        <v>MED-200</v>
      </c>
      <c r="B201" t="str">
        <f>INDEX(Lotes!$A$2:$A$53,INT((ROW()-2)/5)+1)</f>
        <v>RETEX-2024-040</v>
      </c>
      <c r="C201" s="2">
        <f>INDEX(Lotes!$B$2:$B$53,INT((ROW()-2)/5)+1)</f>
        <v>46368</v>
      </c>
      <c r="D201">
        <f>INDEX(Lotes!$C$2:$C$53,INT((ROW()-2)/5)+1)</f>
        <v>50</v>
      </c>
      <c r="E201" t="str">
        <f>INDEX(Lotes!$E$2:$E$53,INT((ROW()-2)/5)+1)</f>
        <v>Algodón</v>
      </c>
      <c r="F201">
        <v>98.17</v>
      </c>
      <c r="G201">
        <f>96</f>
        <v>96</v>
      </c>
      <c r="H201">
        <f>100</f>
        <v>100</v>
      </c>
      <c r="I201" t="str">
        <f t="shared" si="19"/>
        <v>✅ OK</v>
      </c>
      <c r="J201" s="6">
        <f>AVERAGE($F$2:F201)</f>
        <v>98.252850000000038</v>
      </c>
      <c r="K201">
        <f>IF(COUNTA($F$2:F201)&lt;20,"",_xlfn.STDEV.P($F$2:F201))</f>
        <v>0.75937696666411958</v>
      </c>
      <c r="L201">
        <f t="shared" si="20"/>
        <v>0.88</v>
      </c>
      <c r="M201">
        <f t="shared" si="21"/>
        <v>0.77</v>
      </c>
      <c r="N201" t="str">
        <f t="shared" si="22"/>
        <v>❌ NO CAPAZ — Requiere mejora</v>
      </c>
      <c r="O201">
        <f t="shared" si="23"/>
        <v>1</v>
      </c>
    </row>
    <row r="202" spans="1:15" x14ac:dyDescent="0.3">
      <c r="A202" t="str">
        <f t="shared" si="18"/>
        <v>MED-201</v>
      </c>
      <c r="B202" t="str">
        <f>INDEX(Lotes!$A$2:$A$53,INT((ROW()-2)/5)+1)</f>
        <v>RETEX-2024-041</v>
      </c>
      <c r="C202" s="2">
        <f>INDEX(Lotes!$B$2:$B$53,INT((ROW()-2)/5)+1)</f>
        <v>46375</v>
      </c>
      <c r="D202">
        <f>INDEX(Lotes!$C$2:$C$53,INT((ROW()-2)/5)+1)</f>
        <v>51</v>
      </c>
      <c r="E202" t="str">
        <f>INDEX(Lotes!$E$2:$E$53,INT((ROW()-2)/5)+1)</f>
        <v>Poliéster</v>
      </c>
      <c r="F202">
        <v>99.26</v>
      </c>
      <c r="G202">
        <f>96</f>
        <v>96</v>
      </c>
      <c r="H202">
        <f>100</f>
        <v>100</v>
      </c>
      <c r="I202" t="str">
        <f t="shared" si="19"/>
        <v>✅ OK</v>
      </c>
      <c r="J202" s="6">
        <f>AVERAGE($F$2:F202)</f>
        <v>98.25786069651744</v>
      </c>
      <c r="K202">
        <f>IF(COUNTA($F$2:F202)&lt;20,"",_xlfn.STDEV.P($F$2:F202))</f>
        <v>0.76079292264176779</v>
      </c>
      <c r="L202">
        <f t="shared" si="20"/>
        <v>0.88</v>
      </c>
      <c r="M202">
        <f t="shared" si="21"/>
        <v>0.76</v>
      </c>
      <c r="N202" t="str">
        <f t="shared" si="22"/>
        <v>❌ NO CAPAZ — Requiere mejora</v>
      </c>
      <c r="O202">
        <f t="shared" si="23"/>
        <v>1.02</v>
      </c>
    </row>
    <row r="203" spans="1:15" x14ac:dyDescent="0.3">
      <c r="A203" t="str">
        <f t="shared" si="18"/>
        <v>MED-202</v>
      </c>
      <c r="B203" t="str">
        <f>INDEX(Lotes!$A$2:$A$53,INT((ROW()-2)/5)+1)</f>
        <v>RETEX-2024-041</v>
      </c>
      <c r="C203" s="2">
        <f>INDEX(Lotes!$B$2:$B$53,INT((ROW()-2)/5)+1)</f>
        <v>46375</v>
      </c>
      <c r="D203">
        <f>INDEX(Lotes!$C$2:$C$53,INT((ROW()-2)/5)+1)</f>
        <v>51</v>
      </c>
      <c r="E203" t="str">
        <f>INDEX(Lotes!$E$2:$E$53,INT((ROW()-2)/5)+1)</f>
        <v>Poliéster</v>
      </c>
      <c r="F203">
        <v>99.28</v>
      </c>
      <c r="G203">
        <f>96</f>
        <v>96</v>
      </c>
      <c r="H203">
        <f>100</f>
        <v>100</v>
      </c>
      <c r="I203" t="str">
        <f t="shared" si="19"/>
        <v>✅ OK</v>
      </c>
      <c r="J203" s="6">
        <f>AVERAGE($F$2:F203)</f>
        <v>98.262920792079228</v>
      </c>
      <c r="K203">
        <f>IF(COUNTA($F$2:F203)&lt;20,"",_xlfn.STDEV.P($F$2:F203))</f>
        <v>0.76229063586540602</v>
      </c>
      <c r="L203">
        <f t="shared" si="20"/>
        <v>0.87</v>
      </c>
      <c r="M203">
        <f t="shared" si="21"/>
        <v>0.76</v>
      </c>
      <c r="N203" t="str">
        <f t="shared" si="22"/>
        <v>❌ NO CAPAZ — Requiere mejora</v>
      </c>
      <c r="O203">
        <f t="shared" si="23"/>
        <v>0.86</v>
      </c>
    </row>
    <row r="204" spans="1:15" x14ac:dyDescent="0.3">
      <c r="A204" t="str">
        <f t="shared" si="18"/>
        <v>MED-203</v>
      </c>
      <c r="B204" t="str">
        <f>INDEX(Lotes!$A$2:$A$53,INT((ROW()-2)/5)+1)</f>
        <v>RETEX-2024-041</v>
      </c>
      <c r="C204" s="2">
        <f>INDEX(Lotes!$B$2:$B$53,INT((ROW()-2)/5)+1)</f>
        <v>46375</v>
      </c>
      <c r="D204">
        <f>INDEX(Lotes!$C$2:$C$53,INT((ROW()-2)/5)+1)</f>
        <v>51</v>
      </c>
      <c r="E204" t="str">
        <f>INDEX(Lotes!$E$2:$E$53,INT((ROW()-2)/5)+1)</f>
        <v>Poliéster</v>
      </c>
      <c r="F204">
        <v>99.13</v>
      </c>
      <c r="G204">
        <f>96</f>
        <v>96</v>
      </c>
      <c r="H204">
        <f>100</f>
        <v>100</v>
      </c>
      <c r="I204" t="str">
        <f t="shared" si="19"/>
        <v>✅ OK</v>
      </c>
      <c r="J204" s="6">
        <f>AVERAGE($F$2:F204)</f>
        <v>98.267192118226632</v>
      </c>
      <c r="K204">
        <f>IF(COUNTA($F$2:F204)&lt;20,"",_xlfn.STDEV.P($F$2:F204))</f>
        <v>0.76283015789236752</v>
      </c>
      <c r="L204">
        <f t="shared" si="20"/>
        <v>0.87</v>
      </c>
      <c r="M204">
        <f t="shared" si="21"/>
        <v>0.76</v>
      </c>
      <c r="N204" t="str">
        <f t="shared" si="22"/>
        <v>❌ NO CAPAZ — Requiere mejora</v>
      </c>
      <c r="O204">
        <f t="shared" si="23"/>
        <v>0.78</v>
      </c>
    </row>
    <row r="205" spans="1:15" x14ac:dyDescent="0.3">
      <c r="A205" t="str">
        <f t="shared" si="18"/>
        <v>MED-204</v>
      </c>
      <c r="B205" t="str">
        <f>INDEX(Lotes!$A$2:$A$53,INT((ROW()-2)/5)+1)</f>
        <v>RETEX-2024-041</v>
      </c>
      <c r="C205" s="2">
        <f>INDEX(Lotes!$B$2:$B$53,INT((ROW()-2)/5)+1)</f>
        <v>46375</v>
      </c>
      <c r="D205">
        <f>INDEX(Lotes!$C$2:$C$53,INT((ROW()-2)/5)+1)</f>
        <v>51</v>
      </c>
      <c r="E205" t="str">
        <f>INDEX(Lotes!$E$2:$E$53,INT((ROW()-2)/5)+1)</f>
        <v>Poliéster</v>
      </c>
      <c r="F205">
        <v>99.05</v>
      </c>
      <c r="G205">
        <f>96</f>
        <v>96</v>
      </c>
      <c r="H205">
        <f>100</f>
        <v>100</v>
      </c>
      <c r="I205" t="str">
        <f t="shared" si="19"/>
        <v>✅ OK</v>
      </c>
      <c r="J205" s="6">
        <f>AVERAGE($F$2:F205)</f>
        <v>98.271029411764729</v>
      </c>
      <c r="K205">
        <f>IF(COUNTA($F$2:F205)&lt;20,"",_xlfn.STDEV.P($F$2:F205))</f>
        <v>0.76291971355511956</v>
      </c>
      <c r="L205">
        <f t="shared" si="20"/>
        <v>0.87</v>
      </c>
      <c r="M205">
        <f t="shared" si="21"/>
        <v>0.76</v>
      </c>
      <c r="N205" t="str">
        <f t="shared" si="22"/>
        <v>❌ NO CAPAZ — Requiere mejora</v>
      </c>
      <c r="O205">
        <f t="shared" si="23"/>
        <v>0.86</v>
      </c>
    </row>
    <row r="206" spans="1:15" x14ac:dyDescent="0.3">
      <c r="A206" t="str">
        <f t="shared" si="18"/>
        <v>MED-205</v>
      </c>
      <c r="B206" t="str">
        <f>INDEX(Lotes!$A$2:$A$53,INT((ROW()-2)/5)+1)</f>
        <v>RETEX-2024-041</v>
      </c>
      <c r="C206" s="2">
        <f>INDEX(Lotes!$B$2:$B$53,INT((ROW()-2)/5)+1)</f>
        <v>46375</v>
      </c>
      <c r="D206">
        <f>INDEX(Lotes!$C$2:$C$53,INT((ROW()-2)/5)+1)</f>
        <v>51</v>
      </c>
      <c r="E206" t="str">
        <f>INDEX(Lotes!$E$2:$E$53,INT((ROW()-2)/5)+1)</f>
        <v>Poliéster</v>
      </c>
      <c r="F206">
        <v>99.14</v>
      </c>
      <c r="G206">
        <f>96</f>
        <v>96</v>
      </c>
      <c r="H206">
        <f>100</f>
        <v>100</v>
      </c>
      <c r="I206" t="str">
        <f t="shared" si="19"/>
        <v>✅ OK</v>
      </c>
      <c r="J206" s="6">
        <f>AVERAGE($F$2:F206)</f>
        <v>98.275268292682952</v>
      </c>
      <c r="K206">
        <f>IF(COUNTA($F$2:F206)&lt;20,"",_xlfn.STDEV.P($F$2:F206))</f>
        <v>0.76346102251332015</v>
      </c>
      <c r="L206">
        <f t="shared" si="20"/>
        <v>0.87</v>
      </c>
      <c r="M206">
        <f t="shared" si="21"/>
        <v>0.75</v>
      </c>
      <c r="N206" t="str">
        <f t="shared" si="22"/>
        <v>❌ NO CAPAZ — Requiere mejora</v>
      </c>
      <c r="O206">
        <f t="shared" si="23"/>
        <v>-0.4</v>
      </c>
    </row>
    <row r="207" spans="1:15" x14ac:dyDescent="0.3">
      <c r="A207" t="str">
        <f t="shared" si="18"/>
        <v>MED-206</v>
      </c>
      <c r="B207" t="str">
        <f>INDEX(Lotes!$A$2:$A$53,INT((ROW()-2)/5)+1)</f>
        <v>RETEX-2024-042</v>
      </c>
      <c r="C207" s="2">
        <f>INDEX(Lotes!$B$2:$B$53,INT((ROW()-2)/5)+1)</f>
        <v>46382</v>
      </c>
      <c r="D207">
        <f>INDEX(Lotes!$C$2:$C$53,INT((ROW()-2)/5)+1)</f>
        <v>52</v>
      </c>
      <c r="E207" t="str">
        <f>INDEX(Lotes!$E$2:$E$53,INT((ROW()-2)/5)+1)</f>
        <v>Mezcla</v>
      </c>
      <c r="F207">
        <v>97.87</v>
      </c>
      <c r="G207">
        <f>96</f>
        <v>96</v>
      </c>
      <c r="H207">
        <f>100</f>
        <v>100</v>
      </c>
      <c r="I207" t="str">
        <f t="shared" si="19"/>
        <v>✅ OK</v>
      </c>
      <c r="J207" s="6">
        <f>AVERAGE($F$2:F207)</f>
        <v>98.273300970873805</v>
      </c>
      <c r="K207">
        <f>IF(COUNTA($F$2:F207)&lt;20,"",_xlfn.STDEV.P($F$2:F207))</f>
        <v>0.76212641760197752</v>
      </c>
      <c r="L207">
        <f t="shared" si="20"/>
        <v>0.87</v>
      </c>
      <c r="M207">
        <f t="shared" si="21"/>
        <v>0.76</v>
      </c>
      <c r="N207" t="str">
        <f t="shared" si="22"/>
        <v>❌ NO CAPAZ — Requiere mejora</v>
      </c>
      <c r="O207">
        <f t="shared" si="23"/>
        <v>0.23</v>
      </c>
    </row>
    <row r="208" spans="1:15" x14ac:dyDescent="0.3">
      <c r="A208" t="str">
        <f t="shared" si="18"/>
        <v>MED-207</v>
      </c>
      <c r="B208" t="str">
        <f>INDEX(Lotes!$A$2:$A$53,INT((ROW()-2)/5)+1)</f>
        <v>RETEX-2024-042</v>
      </c>
      <c r="C208" s="2">
        <f>INDEX(Lotes!$B$2:$B$53,INT((ROW()-2)/5)+1)</f>
        <v>46382</v>
      </c>
      <c r="D208">
        <f>INDEX(Lotes!$C$2:$C$53,INT((ROW()-2)/5)+1)</f>
        <v>52</v>
      </c>
      <c r="E208" t="str">
        <f>INDEX(Lotes!$E$2:$E$53,INT((ROW()-2)/5)+1)</f>
        <v>Mezcla</v>
      </c>
      <c r="F208">
        <v>98.5</v>
      </c>
      <c r="G208">
        <f>96</f>
        <v>96</v>
      </c>
      <c r="H208">
        <f>100</f>
        <v>100</v>
      </c>
      <c r="I208" t="str">
        <f t="shared" si="19"/>
        <v>✅ OK</v>
      </c>
      <c r="J208" s="6">
        <f>AVERAGE($F$2:F208)</f>
        <v>98.274396135265718</v>
      </c>
      <c r="K208">
        <f>IF(COUNTA($F$2:F208)&lt;20,"",_xlfn.STDEV.P($F$2:F208))</f>
        <v>0.76044577416407544</v>
      </c>
      <c r="L208">
        <f t="shared" si="20"/>
        <v>0.88</v>
      </c>
      <c r="M208">
        <f t="shared" si="21"/>
        <v>0.76</v>
      </c>
      <c r="N208" t="str">
        <f t="shared" si="22"/>
        <v>❌ NO CAPAZ — Requiere mejora</v>
      </c>
      <c r="O208">
        <f t="shared" si="23"/>
        <v>-2.2599999999999998</v>
      </c>
    </row>
    <row r="209" spans="1:15" x14ac:dyDescent="0.3">
      <c r="A209" t="str">
        <f t="shared" si="18"/>
        <v>MED-208</v>
      </c>
      <c r="B209" t="str">
        <f>INDEX(Lotes!$A$2:$A$53,INT((ROW()-2)/5)+1)</f>
        <v>RETEX-2024-042</v>
      </c>
      <c r="C209" s="2">
        <f>INDEX(Lotes!$B$2:$B$53,INT((ROW()-2)/5)+1)</f>
        <v>46382</v>
      </c>
      <c r="D209">
        <f>INDEX(Lotes!$C$2:$C$53,INT((ROW()-2)/5)+1)</f>
        <v>52</v>
      </c>
      <c r="E209" t="str">
        <f>INDEX(Lotes!$E$2:$E$53,INT((ROW()-2)/5)+1)</f>
        <v>Mezcla</v>
      </c>
      <c r="F209">
        <v>96</v>
      </c>
      <c r="G209">
        <f>96</f>
        <v>96</v>
      </c>
      <c r="H209">
        <f>100</f>
        <v>100</v>
      </c>
      <c r="I209" t="str">
        <f t="shared" si="19"/>
        <v>✅ OK</v>
      </c>
      <c r="J209" s="6">
        <f>AVERAGE($F$2:F209)</f>
        <v>98.263461538461556</v>
      </c>
      <c r="K209">
        <f>IF(COUNTA($F$2:F209)&lt;20,"",_xlfn.STDEV.P($F$2:F209))</f>
        <v>0.77475649925385826</v>
      </c>
      <c r="L209">
        <f t="shared" si="20"/>
        <v>0.86</v>
      </c>
      <c r="M209">
        <f t="shared" si="21"/>
        <v>0.75</v>
      </c>
      <c r="N209" t="str">
        <f t="shared" si="22"/>
        <v>❌ NO CAPAZ — Requiere mejora</v>
      </c>
      <c r="O209">
        <f t="shared" si="23"/>
        <v>-0.91</v>
      </c>
    </row>
    <row r="210" spans="1:15" x14ac:dyDescent="0.3">
      <c r="A210" t="str">
        <f t="shared" si="18"/>
        <v>MED-209</v>
      </c>
      <c r="B210" t="str">
        <f>INDEX(Lotes!$A$2:$A$53,INT((ROW()-2)/5)+1)</f>
        <v>RETEX-2024-042</v>
      </c>
      <c r="C210" s="2">
        <f>INDEX(Lotes!$B$2:$B$53,INT((ROW()-2)/5)+1)</f>
        <v>46382</v>
      </c>
      <c r="D210">
        <f>INDEX(Lotes!$C$2:$C$53,INT((ROW()-2)/5)+1)</f>
        <v>52</v>
      </c>
      <c r="E210" t="str">
        <f>INDEX(Lotes!$E$2:$E$53,INT((ROW()-2)/5)+1)</f>
        <v>Mezcla</v>
      </c>
      <c r="F210">
        <v>97.35</v>
      </c>
      <c r="G210">
        <f>96</f>
        <v>96</v>
      </c>
      <c r="H210">
        <f>100</f>
        <v>100</v>
      </c>
      <c r="I210" t="str">
        <f t="shared" si="19"/>
        <v>✅ OK</v>
      </c>
      <c r="J210" s="6">
        <f>AVERAGE($F$2:F210)</f>
        <v>98.259090909090915</v>
      </c>
      <c r="K210">
        <f>IF(COUNTA($F$2:F210)&lt;20,"",_xlfn.STDEV.P($F$2:F210))</f>
        <v>0.77546691374891641</v>
      </c>
      <c r="L210">
        <f t="shared" si="20"/>
        <v>0.86</v>
      </c>
      <c r="M210">
        <f t="shared" si="21"/>
        <v>0.75</v>
      </c>
      <c r="N210" t="str">
        <f t="shared" si="22"/>
        <v>❌ NO CAPAZ — Requiere mejora</v>
      </c>
      <c r="O210">
        <f t="shared" si="23"/>
        <v>-0.57999999999999996</v>
      </c>
    </row>
    <row r="211" spans="1:15" x14ac:dyDescent="0.3">
      <c r="A211" t="str">
        <f t="shared" si="18"/>
        <v>MED-210</v>
      </c>
      <c r="B211" t="str">
        <f>INDEX(Lotes!$A$2:$A$53,INT((ROW()-2)/5)+1)</f>
        <v>RETEX-2024-042</v>
      </c>
      <c r="C211" s="2">
        <f>INDEX(Lotes!$B$2:$B$53,INT((ROW()-2)/5)+1)</f>
        <v>46382</v>
      </c>
      <c r="D211">
        <f>INDEX(Lotes!$C$2:$C$53,INT((ROW()-2)/5)+1)</f>
        <v>52</v>
      </c>
      <c r="E211" t="str">
        <f>INDEX(Lotes!$E$2:$E$53,INT((ROW()-2)/5)+1)</f>
        <v>Mezcla</v>
      </c>
      <c r="F211">
        <v>97.68</v>
      </c>
      <c r="G211">
        <f>96</f>
        <v>96</v>
      </c>
      <c r="H211">
        <f>100</f>
        <v>100</v>
      </c>
      <c r="I211" t="str">
        <f t="shared" si="19"/>
        <v>✅ OK</v>
      </c>
      <c r="J211" s="6">
        <f>AVERAGE($F$2:F211)</f>
        <v>98.256333333333345</v>
      </c>
      <c r="K211">
        <f>IF(COUNTA($F$2:F211)&lt;20,"",_xlfn.STDEV.P($F$2:F211))</f>
        <v>0.77464485462284594</v>
      </c>
      <c r="L211">
        <f t="shared" si="20"/>
        <v>0.86</v>
      </c>
      <c r="M211">
        <f t="shared" si="21"/>
        <v>0.75</v>
      </c>
      <c r="N211" t="str">
        <f t="shared" si="22"/>
        <v>❌ NO CAPAZ — Requiere mejora</v>
      </c>
      <c r="O211">
        <f t="shared" si="23"/>
        <v>-1.05</v>
      </c>
    </row>
    <row r="212" spans="1:15" x14ac:dyDescent="0.3">
      <c r="A212" t="str">
        <f t="shared" si="18"/>
        <v>MED-211</v>
      </c>
      <c r="B212" t="str">
        <f>INDEX(Lotes!$A$2:$A$53,INT((ROW()-2)/5)+1)</f>
        <v>RETEX-2024-043</v>
      </c>
      <c r="C212" s="2">
        <f>INDEX(Lotes!$B$2:$B$53,INT((ROW()-2)/5)+1)</f>
        <v>46389</v>
      </c>
      <c r="D212">
        <f>INDEX(Lotes!$C$2:$C$53,INT((ROW()-2)/5)+1)</f>
        <v>1</v>
      </c>
      <c r="E212" t="str">
        <f>INDEX(Lotes!$E$2:$E$53,INT((ROW()-2)/5)+1)</f>
        <v>Algodón</v>
      </c>
      <c r="F212">
        <v>97.2</v>
      </c>
      <c r="G212">
        <f>96</f>
        <v>96</v>
      </c>
      <c r="H212">
        <f>100</f>
        <v>100</v>
      </c>
      <c r="I212" t="str">
        <f t="shared" si="19"/>
        <v>✅ OK</v>
      </c>
      <c r="J212" s="6">
        <f>AVERAGE($F$2:F212)</f>
        <v>98.25132701421802</v>
      </c>
      <c r="K212">
        <f>IF(COUNTA($F$2:F212)&lt;20,"",_xlfn.STDEV.P($F$2:F212))</f>
        <v>0.77620485287739671</v>
      </c>
      <c r="L212">
        <f t="shared" si="20"/>
        <v>0.86</v>
      </c>
      <c r="M212">
        <f t="shared" si="21"/>
        <v>0.75</v>
      </c>
      <c r="N212" t="str">
        <f t="shared" si="22"/>
        <v>❌ NO CAPAZ — Requiere mejora</v>
      </c>
      <c r="O212">
        <f t="shared" si="23"/>
        <v>-0.42</v>
      </c>
    </row>
    <row r="213" spans="1:15" x14ac:dyDescent="0.3">
      <c r="A213" t="str">
        <f t="shared" si="18"/>
        <v>MED-212</v>
      </c>
      <c r="B213" t="str">
        <f>INDEX(Lotes!$A$2:$A$53,INT((ROW()-2)/5)+1)</f>
        <v>RETEX-2024-043</v>
      </c>
      <c r="C213" s="2">
        <f>INDEX(Lotes!$B$2:$B$53,INT((ROW()-2)/5)+1)</f>
        <v>46389</v>
      </c>
      <c r="D213">
        <f>INDEX(Lotes!$C$2:$C$53,INT((ROW()-2)/5)+1)</f>
        <v>1</v>
      </c>
      <c r="E213" t="str">
        <f>INDEX(Lotes!$E$2:$E$53,INT((ROW()-2)/5)+1)</f>
        <v>Algodón</v>
      </c>
      <c r="F213">
        <v>97.83</v>
      </c>
      <c r="G213">
        <f>96</f>
        <v>96</v>
      </c>
      <c r="H213">
        <f>100</f>
        <v>100</v>
      </c>
      <c r="I213" t="str">
        <f t="shared" si="19"/>
        <v>✅ OK</v>
      </c>
      <c r="J213" s="6">
        <f>AVERAGE($F$2:F213)</f>
        <v>98.249339622641529</v>
      </c>
      <c r="K213">
        <f>IF(COUNTA($F$2:F213)&lt;20,"",_xlfn.STDEV.P($F$2:F213))</f>
        <v>0.77490993861115753</v>
      </c>
      <c r="L213">
        <f t="shared" si="20"/>
        <v>0.86</v>
      </c>
      <c r="M213">
        <f t="shared" si="21"/>
        <v>0.75</v>
      </c>
      <c r="N213" t="str">
        <f t="shared" si="22"/>
        <v>❌ NO CAPAZ — Requiere mejora</v>
      </c>
      <c r="O213">
        <f t="shared" si="23"/>
        <v>0.01</v>
      </c>
    </row>
    <row r="214" spans="1:15" x14ac:dyDescent="0.3">
      <c r="A214" t="str">
        <f t="shared" si="18"/>
        <v>MED-213</v>
      </c>
      <c r="B214" t="str">
        <f>INDEX(Lotes!$A$2:$A$53,INT((ROW()-2)/5)+1)</f>
        <v>RETEX-2024-043</v>
      </c>
      <c r="C214" s="2">
        <f>INDEX(Lotes!$B$2:$B$53,INT((ROW()-2)/5)+1)</f>
        <v>46389</v>
      </c>
      <c r="D214">
        <f>INDEX(Lotes!$C$2:$C$53,INT((ROW()-2)/5)+1)</f>
        <v>1</v>
      </c>
      <c r="E214" t="str">
        <f>INDEX(Lotes!$E$2:$E$53,INT((ROW()-2)/5)+1)</f>
        <v>Algodón</v>
      </c>
      <c r="F214">
        <v>98.26</v>
      </c>
      <c r="G214">
        <f>96</f>
        <v>96</v>
      </c>
      <c r="H214">
        <f>100</f>
        <v>100</v>
      </c>
      <c r="I214" t="str">
        <f t="shared" si="19"/>
        <v>✅ OK</v>
      </c>
      <c r="J214" s="6">
        <f>AVERAGE($F$2:F214)</f>
        <v>98.249389671361513</v>
      </c>
      <c r="K214">
        <f>IF(COUNTA($F$2:F214)&lt;20,"",_xlfn.STDEV.P($F$2:F214))</f>
        <v>0.77308910459867897</v>
      </c>
      <c r="L214">
        <f t="shared" si="20"/>
        <v>0.86</v>
      </c>
      <c r="M214">
        <f t="shared" si="21"/>
        <v>0.75</v>
      </c>
      <c r="N214" t="str">
        <f t="shared" si="22"/>
        <v>❌ NO CAPAZ — Requiere mejora</v>
      </c>
      <c r="O214">
        <f t="shared" si="23"/>
        <v>0.35</v>
      </c>
    </row>
    <row r="215" spans="1:15" x14ac:dyDescent="0.3">
      <c r="A215" t="str">
        <f t="shared" si="18"/>
        <v>MED-214</v>
      </c>
      <c r="B215" t="str">
        <f>INDEX(Lotes!$A$2:$A$53,INT((ROW()-2)/5)+1)</f>
        <v>RETEX-2024-043</v>
      </c>
      <c r="C215" s="2">
        <f>INDEX(Lotes!$B$2:$B$53,INT((ROW()-2)/5)+1)</f>
        <v>46389</v>
      </c>
      <c r="D215">
        <f>INDEX(Lotes!$C$2:$C$53,INT((ROW()-2)/5)+1)</f>
        <v>1</v>
      </c>
      <c r="E215" t="str">
        <f>INDEX(Lotes!$E$2:$E$53,INT((ROW()-2)/5)+1)</f>
        <v>Algodón</v>
      </c>
      <c r="F215">
        <v>98.6</v>
      </c>
      <c r="G215">
        <f>96</f>
        <v>96</v>
      </c>
      <c r="H215">
        <f>100</f>
        <v>100</v>
      </c>
      <c r="I215" t="str">
        <f t="shared" si="19"/>
        <v>✅ OK</v>
      </c>
      <c r="J215" s="6">
        <f>AVERAGE($F$2:F215)</f>
        <v>98.251028037383179</v>
      </c>
      <c r="K215">
        <f>IF(COUNTA($F$2:F215)&lt;20,"",_xlfn.STDEV.P($F$2:F215))</f>
        <v>0.77165126327318445</v>
      </c>
      <c r="L215">
        <f t="shared" si="20"/>
        <v>0.86</v>
      </c>
      <c r="M215">
        <f t="shared" si="21"/>
        <v>0.76</v>
      </c>
      <c r="N215" t="str">
        <f t="shared" si="22"/>
        <v>❌ NO CAPAZ — Requiere mejora</v>
      </c>
      <c r="O215">
        <f t="shared" si="23"/>
        <v>-0.63</v>
      </c>
    </row>
    <row r="216" spans="1:15" x14ac:dyDescent="0.3">
      <c r="A216" t="str">
        <f t="shared" si="18"/>
        <v>MED-215</v>
      </c>
      <c r="B216" t="str">
        <f>INDEX(Lotes!$A$2:$A$53,INT((ROW()-2)/5)+1)</f>
        <v>RETEX-2024-043</v>
      </c>
      <c r="C216" s="2">
        <f>INDEX(Lotes!$B$2:$B$53,INT((ROW()-2)/5)+1)</f>
        <v>46389</v>
      </c>
      <c r="D216">
        <f>INDEX(Lotes!$C$2:$C$53,INT((ROW()-2)/5)+1)</f>
        <v>1</v>
      </c>
      <c r="E216" t="str">
        <f>INDEX(Lotes!$E$2:$E$53,INT((ROW()-2)/5)+1)</f>
        <v>Algodón</v>
      </c>
      <c r="F216">
        <v>97.62</v>
      </c>
      <c r="G216">
        <f>96</f>
        <v>96</v>
      </c>
      <c r="H216">
        <f>100</f>
        <v>100</v>
      </c>
      <c r="I216" t="str">
        <f t="shared" si="19"/>
        <v>✅ OK</v>
      </c>
      <c r="J216" s="6">
        <f>AVERAGE($F$2:F216)</f>
        <v>98.248093023255819</v>
      </c>
      <c r="K216">
        <f>IF(COUNTA($F$2:F216)&lt;20,"",_xlfn.STDEV.P($F$2:F216))</f>
        <v>0.77105098356311685</v>
      </c>
      <c r="L216">
        <f t="shared" si="20"/>
        <v>0.86</v>
      </c>
      <c r="M216">
        <f t="shared" si="21"/>
        <v>0.76</v>
      </c>
      <c r="N216" t="str">
        <f t="shared" si="22"/>
        <v>❌ NO CAPAZ — Requiere mejora</v>
      </c>
      <c r="O216">
        <f t="shared" si="23"/>
        <v>-0.1</v>
      </c>
    </row>
    <row r="217" spans="1:15" x14ac:dyDescent="0.3">
      <c r="A217" t="str">
        <f t="shared" si="18"/>
        <v>MED-216</v>
      </c>
      <c r="B217" t="str">
        <f>INDEX(Lotes!$A$2:$A$53,INT((ROW()-2)/5)+1)</f>
        <v>RETEX-2024-044</v>
      </c>
      <c r="C217" s="2">
        <f>INDEX(Lotes!$B$2:$B$53,INT((ROW()-2)/5)+1)</f>
        <v>46396</v>
      </c>
      <c r="D217">
        <f>INDEX(Lotes!$C$2:$C$53,INT((ROW()-2)/5)+1)</f>
        <v>2</v>
      </c>
      <c r="E217" t="str">
        <f>INDEX(Lotes!$E$2:$E$53,INT((ROW()-2)/5)+1)</f>
        <v>Poliéster</v>
      </c>
      <c r="F217">
        <v>98.15</v>
      </c>
      <c r="G217">
        <f>96</f>
        <v>96</v>
      </c>
      <c r="H217">
        <f>100</f>
        <v>100</v>
      </c>
      <c r="I217" t="str">
        <f t="shared" si="19"/>
        <v>✅ OK</v>
      </c>
      <c r="J217" s="6">
        <f>AVERAGE($F$2:F217)</f>
        <v>98.247638888888901</v>
      </c>
      <c r="K217">
        <f>IF(COUNTA($F$2:F217)&lt;20,"",_xlfn.STDEV.P($F$2:F217))</f>
        <v>0.76929289271638879</v>
      </c>
      <c r="L217">
        <f t="shared" si="20"/>
        <v>0.87</v>
      </c>
      <c r="M217">
        <f t="shared" si="21"/>
        <v>0.76</v>
      </c>
      <c r="N217" t="str">
        <f t="shared" si="22"/>
        <v>❌ NO CAPAZ — Requiere mejora</v>
      </c>
      <c r="O217">
        <f t="shared" si="23"/>
        <v>0.56000000000000005</v>
      </c>
    </row>
    <row r="218" spans="1:15" x14ac:dyDescent="0.3">
      <c r="A218" t="str">
        <f t="shared" si="18"/>
        <v>MED-217</v>
      </c>
      <c r="B218" t="str">
        <f>INDEX(Lotes!$A$2:$A$53,INT((ROW()-2)/5)+1)</f>
        <v>RETEX-2024-044</v>
      </c>
      <c r="C218" s="2">
        <f>INDEX(Lotes!$B$2:$B$53,INT((ROW()-2)/5)+1)</f>
        <v>46396</v>
      </c>
      <c r="D218">
        <f>INDEX(Lotes!$C$2:$C$53,INT((ROW()-2)/5)+1)</f>
        <v>2</v>
      </c>
      <c r="E218" t="str">
        <f>INDEX(Lotes!$E$2:$E$53,INT((ROW()-2)/5)+1)</f>
        <v>Poliéster</v>
      </c>
      <c r="F218">
        <v>98.81</v>
      </c>
      <c r="G218">
        <f>96</f>
        <v>96</v>
      </c>
      <c r="H218">
        <f>100</f>
        <v>100</v>
      </c>
      <c r="I218" t="str">
        <f t="shared" si="19"/>
        <v>✅ OK</v>
      </c>
      <c r="J218" s="6">
        <f>AVERAGE($F$2:F218)</f>
        <v>98.250230414746554</v>
      </c>
      <c r="K218">
        <f>IF(COUNTA($F$2:F218)&lt;20,"",_xlfn.STDEV.P($F$2:F218))</f>
        <v>0.76846273166011048</v>
      </c>
      <c r="L218">
        <f t="shared" si="20"/>
        <v>0.87</v>
      </c>
      <c r="M218">
        <f t="shared" si="21"/>
        <v>0.76</v>
      </c>
      <c r="N218" t="str">
        <f t="shared" si="22"/>
        <v>❌ NO CAPAZ — Requiere mejora</v>
      </c>
      <c r="O218">
        <f t="shared" si="23"/>
        <v>0.24</v>
      </c>
    </row>
    <row r="219" spans="1:15" x14ac:dyDescent="0.3">
      <c r="A219" t="str">
        <f t="shared" si="18"/>
        <v>MED-218</v>
      </c>
      <c r="B219" t="str">
        <f>INDEX(Lotes!$A$2:$A$53,INT((ROW()-2)/5)+1)</f>
        <v>RETEX-2024-044</v>
      </c>
      <c r="C219" s="2">
        <f>INDEX(Lotes!$B$2:$B$53,INT((ROW()-2)/5)+1)</f>
        <v>46396</v>
      </c>
      <c r="D219">
        <f>INDEX(Lotes!$C$2:$C$53,INT((ROW()-2)/5)+1)</f>
        <v>2</v>
      </c>
      <c r="E219" t="str">
        <f>INDEX(Lotes!$E$2:$E$53,INT((ROW()-2)/5)+1)</f>
        <v>Poliéster</v>
      </c>
      <c r="F219">
        <v>98.49</v>
      </c>
      <c r="G219">
        <f>96</f>
        <v>96</v>
      </c>
      <c r="H219">
        <f>100</f>
        <v>100</v>
      </c>
      <c r="I219" t="str">
        <f t="shared" si="19"/>
        <v>✅ OK</v>
      </c>
      <c r="J219" s="6">
        <f>AVERAGE($F$2:F219)</f>
        <v>98.251330275229378</v>
      </c>
      <c r="K219">
        <f>IF(COUNTA($F$2:F219)&lt;20,"",_xlfn.STDEV.P($F$2:F219))</f>
        <v>0.76686934828580222</v>
      </c>
      <c r="L219">
        <f t="shared" si="20"/>
        <v>0.87</v>
      </c>
      <c r="M219">
        <f t="shared" si="21"/>
        <v>0.76</v>
      </c>
      <c r="N219" t="str">
        <f t="shared" si="22"/>
        <v>❌ NO CAPAZ — Requiere mejora</v>
      </c>
      <c r="O219">
        <f t="shared" si="23"/>
        <v>0.92</v>
      </c>
    </row>
    <row r="220" spans="1:15" x14ac:dyDescent="0.3">
      <c r="A220" t="str">
        <f t="shared" si="18"/>
        <v>MED-219</v>
      </c>
      <c r="B220" t="str">
        <f>INDEX(Lotes!$A$2:$A$53,INT((ROW()-2)/5)+1)</f>
        <v>RETEX-2024-044</v>
      </c>
      <c r="C220" s="2">
        <f>INDEX(Lotes!$B$2:$B$53,INT((ROW()-2)/5)+1)</f>
        <v>46396</v>
      </c>
      <c r="D220">
        <f>INDEX(Lotes!$C$2:$C$53,INT((ROW()-2)/5)+1)</f>
        <v>2</v>
      </c>
      <c r="E220" t="str">
        <f>INDEX(Lotes!$E$2:$E$53,INT((ROW()-2)/5)+1)</f>
        <v>Poliéster</v>
      </c>
      <c r="F220">
        <v>99.18</v>
      </c>
      <c r="G220">
        <f>96</f>
        <v>96</v>
      </c>
      <c r="H220">
        <f>100</f>
        <v>100</v>
      </c>
      <c r="I220" t="str">
        <f t="shared" si="19"/>
        <v>✅ OK</v>
      </c>
      <c r="J220" s="6">
        <f>AVERAGE($F$2:F220)</f>
        <v>98.255570776255723</v>
      </c>
      <c r="K220">
        <f>IF(COUNTA($F$2:F220)&lt;20,"",_xlfn.STDEV.P($F$2:F220))</f>
        <v>0.7676739570621447</v>
      </c>
      <c r="L220">
        <f t="shared" si="20"/>
        <v>0.87</v>
      </c>
      <c r="M220">
        <f t="shared" si="21"/>
        <v>0.76</v>
      </c>
      <c r="N220" t="str">
        <f t="shared" si="22"/>
        <v>❌ NO CAPAZ — Requiere mejora</v>
      </c>
      <c r="O220">
        <f t="shared" si="23"/>
        <v>0.54</v>
      </c>
    </row>
    <row r="221" spans="1:15" x14ac:dyDescent="0.3">
      <c r="A221" t="str">
        <f t="shared" si="18"/>
        <v>MED-220</v>
      </c>
      <c r="B221" t="str">
        <f>INDEX(Lotes!$A$2:$A$53,INT((ROW()-2)/5)+1)</f>
        <v>RETEX-2024-044</v>
      </c>
      <c r="C221" s="2">
        <f>INDEX(Lotes!$B$2:$B$53,INT((ROW()-2)/5)+1)</f>
        <v>46396</v>
      </c>
      <c r="D221">
        <f>INDEX(Lotes!$C$2:$C$53,INT((ROW()-2)/5)+1)</f>
        <v>2</v>
      </c>
      <c r="E221" t="str">
        <f>INDEX(Lotes!$E$2:$E$53,INT((ROW()-2)/5)+1)</f>
        <v>Poliéster</v>
      </c>
      <c r="F221">
        <v>98.8</v>
      </c>
      <c r="G221">
        <f>96</f>
        <v>96</v>
      </c>
      <c r="H221">
        <f>100</f>
        <v>100</v>
      </c>
      <c r="I221" t="str">
        <f t="shared" si="19"/>
        <v>✅ OK</v>
      </c>
      <c r="J221" s="6">
        <f>AVERAGE($F$2:F221)</f>
        <v>98.258045454545467</v>
      </c>
      <c r="K221">
        <f>IF(COUNTA($F$2:F221)&lt;20,"",_xlfn.STDEV.P($F$2:F221))</f>
        <v>0.76680227256223688</v>
      </c>
      <c r="L221">
        <f t="shared" si="20"/>
        <v>0.87</v>
      </c>
      <c r="M221">
        <f t="shared" si="21"/>
        <v>0.76</v>
      </c>
      <c r="N221" t="str">
        <f t="shared" si="22"/>
        <v>❌ NO CAPAZ — Requiere mejora</v>
      </c>
      <c r="O221">
        <f t="shared" si="23"/>
        <v>-0.7</v>
      </c>
    </row>
    <row r="222" spans="1:15" x14ac:dyDescent="0.3">
      <c r="A222" t="str">
        <f t="shared" si="18"/>
        <v>MED-221</v>
      </c>
      <c r="B222" t="str">
        <f>INDEX(Lotes!$A$2:$A$53,INT((ROW()-2)/5)+1)</f>
        <v>RETEX-2024-045</v>
      </c>
      <c r="C222" s="2">
        <f>INDEX(Lotes!$B$2:$B$53,INT((ROW()-2)/5)+1)</f>
        <v>46403</v>
      </c>
      <c r="D222">
        <f>INDEX(Lotes!$C$2:$C$53,INT((ROW()-2)/5)+1)</f>
        <v>3</v>
      </c>
      <c r="E222" t="str">
        <f>INDEX(Lotes!$E$2:$E$53,INT((ROW()-2)/5)+1)</f>
        <v>Mezcla</v>
      </c>
      <c r="F222">
        <v>97.55</v>
      </c>
      <c r="G222">
        <f>96</f>
        <v>96</v>
      </c>
      <c r="H222">
        <f>100</f>
        <v>100</v>
      </c>
      <c r="I222" t="str">
        <f t="shared" si="19"/>
        <v>✅ OK</v>
      </c>
      <c r="J222" s="6">
        <f>AVERAGE($F$2:F222)</f>
        <v>98.254841628959298</v>
      </c>
      <c r="K222">
        <f>IF(COUNTA($F$2:F222)&lt;20,"",_xlfn.STDEV.P($F$2:F222))</f>
        <v>0.76653985281871506</v>
      </c>
      <c r="L222">
        <f t="shared" si="20"/>
        <v>0.87</v>
      </c>
      <c r="M222">
        <f t="shared" si="21"/>
        <v>0.76</v>
      </c>
      <c r="N222" t="str">
        <f t="shared" si="22"/>
        <v>❌ NO CAPAZ — Requiere mejora</v>
      </c>
      <c r="O222">
        <f t="shared" si="23"/>
        <v>-1.85</v>
      </c>
    </row>
    <row r="223" spans="1:15" x14ac:dyDescent="0.3">
      <c r="A223" t="str">
        <f t="shared" si="18"/>
        <v>MED-222</v>
      </c>
      <c r="B223" t="str">
        <f>INDEX(Lotes!$A$2:$A$53,INT((ROW()-2)/5)+1)</f>
        <v>RETEX-2024-045</v>
      </c>
      <c r="C223" s="2">
        <f>INDEX(Lotes!$B$2:$B$53,INT((ROW()-2)/5)+1)</f>
        <v>46403</v>
      </c>
      <c r="D223">
        <f>INDEX(Lotes!$C$2:$C$53,INT((ROW()-2)/5)+1)</f>
        <v>3</v>
      </c>
      <c r="E223" t="str">
        <f>INDEX(Lotes!$E$2:$E$53,INT((ROW()-2)/5)+1)</f>
        <v>Mezcla</v>
      </c>
      <c r="F223">
        <v>96.4</v>
      </c>
      <c r="G223">
        <f>96</f>
        <v>96</v>
      </c>
      <c r="H223">
        <f>100</f>
        <v>100</v>
      </c>
      <c r="I223" t="str">
        <f t="shared" si="19"/>
        <v>✅ OK</v>
      </c>
      <c r="J223" s="6">
        <f>AVERAGE($F$2:F223)</f>
        <v>98.246486486486504</v>
      </c>
      <c r="K223">
        <f>IF(COUNTA($F$2:F223)&lt;20,"",_xlfn.STDEV.P($F$2:F223))</f>
        <v>0.77483174418667566</v>
      </c>
      <c r="L223">
        <f t="shared" si="20"/>
        <v>0.86</v>
      </c>
      <c r="M223">
        <f t="shared" si="21"/>
        <v>0.75</v>
      </c>
      <c r="N223" t="str">
        <f t="shared" si="22"/>
        <v>❌ NO CAPAZ — Requiere mejora</v>
      </c>
      <c r="O223">
        <f t="shared" si="23"/>
        <v>-0.69</v>
      </c>
    </row>
    <row r="224" spans="1:15" x14ac:dyDescent="0.3">
      <c r="A224" t="str">
        <f t="shared" si="18"/>
        <v>MED-223</v>
      </c>
      <c r="B224" t="str">
        <f>INDEX(Lotes!$A$2:$A$53,INT((ROW()-2)/5)+1)</f>
        <v>RETEX-2024-045</v>
      </c>
      <c r="C224" s="2">
        <f>INDEX(Lotes!$B$2:$B$53,INT((ROW()-2)/5)+1)</f>
        <v>46403</v>
      </c>
      <c r="D224">
        <f>INDEX(Lotes!$C$2:$C$53,INT((ROW()-2)/5)+1)</f>
        <v>3</v>
      </c>
      <c r="E224" t="str">
        <f>INDEX(Lotes!$E$2:$E$53,INT((ROW()-2)/5)+1)</f>
        <v>Mezcla</v>
      </c>
      <c r="F224">
        <v>97.55</v>
      </c>
      <c r="G224">
        <f>96</f>
        <v>96</v>
      </c>
      <c r="H224">
        <f>100</f>
        <v>100</v>
      </c>
      <c r="I224" t="str">
        <f t="shared" si="19"/>
        <v>✅ OK</v>
      </c>
      <c r="J224" s="6">
        <f>AVERAGE($F$2:F224)</f>
        <v>98.243363228699565</v>
      </c>
      <c r="K224">
        <f>IF(COUNTA($F$2:F224)&lt;20,"",_xlfn.STDEV.P($F$2:F224))</f>
        <v>0.77449181249157217</v>
      </c>
      <c r="L224">
        <f t="shared" si="20"/>
        <v>0.86</v>
      </c>
      <c r="M224">
        <f t="shared" si="21"/>
        <v>0.76</v>
      </c>
      <c r="N224" t="str">
        <f t="shared" si="22"/>
        <v>❌ NO CAPAZ — Requiere mejora</v>
      </c>
      <c r="O224">
        <f t="shared" si="23"/>
        <v>0.24</v>
      </c>
    </row>
    <row r="225" spans="1:15" x14ac:dyDescent="0.3">
      <c r="A225" t="str">
        <f t="shared" si="18"/>
        <v>MED-224</v>
      </c>
      <c r="B225" t="str">
        <f>INDEX(Lotes!$A$2:$A$53,INT((ROW()-2)/5)+1)</f>
        <v>RETEX-2024-045</v>
      </c>
      <c r="C225" s="2">
        <f>INDEX(Lotes!$B$2:$B$53,INT((ROW()-2)/5)+1)</f>
        <v>46403</v>
      </c>
      <c r="D225">
        <f>INDEX(Lotes!$C$2:$C$53,INT((ROW()-2)/5)+1)</f>
        <v>3</v>
      </c>
      <c r="E225" t="str">
        <f>INDEX(Lotes!$E$2:$E$53,INT((ROW()-2)/5)+1)</f>
        <v>Mezcla</v>
      </c>
      <c r="F225">
        <v>98.48</v>
      </c>
      <c r="G225">
        <f>96</f>
        <v>96</v>
      </c>
      <c r="H225">
        <f>100</f>
        <v>100</v>
      </c>
      <c r="I225" t="str">
        <f t="shared" si="19"/>
        <v>✅ OK</v>
      </c>
      <c r="J225" s="6">
        <f>AVERAGE($F$2:F225)</f>
        <v>98.244419642857153</v>
      </c>
      <c r="K225">
        <f>IF(COUNTA($F$2:F225)&lt;20,"",_xlfn.STDEV.P($F$2:F225))</f>
        <v>0.7729221123483373</v>
      </c>
      <c r="L225">
        <f t="shared" si="20"/>
        <v>0.86</v>
      </c>
      <c r="M225">
        <f t="shared" si="21"/>
        <v>0.76</v>
      </c>
      <c r="N225" t="str">
        <f t="shared" si="22"/>
        <v>❌ NO CAPAZ — Requiere mejora</v>
      </c>
      <c r="O225">
        <f t="shared" si="23"/>
        <v>-0.97</v>
      </c>
    </row>
    <row r="226" spans="1:15" x14ac:dyDescent="0.3">
      <c r="A226" t="str">
        <f t="shared" si="18"/>
        <v>MED-225</v>
      </c>
      <c r="B226" t="str">
        <f>INDEX(Lotes!$A$2:$A$53,INT((ROW()-2)/5)+1)</f>
        <v>RETEX-2024-045</v>
      </c>
      <c r="C226" s="2">
        <f>INDEX(Lotes!$B$2:$B$53,INT((ROW()-2)/5)+1)</f>
        <v>46403</v>
      </c>
      <c r="D226">
        <f>INDEX(Lotes!$C$2:$C$53,INT((ROW()-2)/5)+1)</f>
        <v>3</v>
      </c>
      <c r="E226" t="str">
        <f>INDEX(Lotes!$E$2:$E$53,INT((ROW()-2)/5)+1)</f>
        <v>Mezcla</v>
      </c>
      <c r="F226">
        <v>97.27</v>
      </c>
      <c r="G226">
        <f>96</f>
        <v>96</v>
      </c>
      <c r="H226">
        <f>100</f>
        <v>100</v>
      </c>
      <c r="I226" t="str">
        <f t="shared" si="19"/>
        <v>✅ OK</v>
      </c>
      <c r="J226" s="6">
        <f>AVERAGE($F$2:F226)</f>
        <v>98.240088888888906</v>
      </c>
      <c r="K226">
        <f>IF(COUNTA($F$2:F226)&lt;20,"",_xlfn.STDEV.P($F$2:F226))</f>
        <v>0.77392161021994454</v>
      </c>
      <c r="L226">
        <f t="shared" si="20"/>
        <v>0.86</v>
      </c>
      <c r="M226">
        <f t="shared" si="21"/>
        <v>0.76</v>
      </c>
      <c r="N226" t="str">
        <f t="shared" si="22"/>
        <v>❌ NO CAPAZ — Requiere mejora</v>
      </c>
      <c r="O226">
        <f t="shared" si="23"/>
        <v>-0.12</v>
      </c>
    </row>
    <row r="227" spans="1:15" x14ac:dyDescent="0.3">
      <c r="A227" t="str">
        <f t="shared" si="18"/>
        <v>MED-226</v>
      </c>
      <c r="B227" t="str">
        <f>INDEX(Lotes!$A$2:$A$53,INT((ROW()-2)/5)+1)</f>
        <v>RETEX-2024-046</v>
      </c>
      <c r="C227" s="2">
        <f>INDEX(Lotes!$B$2:$B$53,INT((ROW()-2)/5)+1)</f>
        <v>46410</v>
      </c>
      <c r="D227">
        <f>INDEX(Lotes!$C$2:$C$53,INT((ROW()-2)/5)+1)</f>
        <v>4</v>
      </c>
      <c r="E227" t="str">
        <f>INDEX(Lotes!$E$2:$E$53,INT((ROW()-2)/5)+1)</f>
        <v>Algodón</v>
      </c>
      <c r="F227">
        <v>98.12</v>
      </c>
      <c r="G227">
        <f>96</f>
        <v>96</v>
      </c>
      <c r="H227">
        <f>100</f>
        <v>100</v>
      </c>
      <c r="I227" t="str">
        <f t="shared" si="19"/>
        <v>✅ OK</v>
      </c>
      <c r="J227" s="6">
        <f>AVERAGE($F$2:F227)</f>
        <v>98.239557522123903</v>
      </c>
      <c r="K227">
        <f>IF(COUNTA($F$2:F227)&lt;20,"",_xlfn.STDEV.P($F$2:F227))</f>
        <v>0.77224862952694806</v>
      </c>
      <c r="L227">
        <f t="shared" si="20"/>
        <v>0.86</v>
      </c>
      <c r="M227">
        <f t="shared" si="21"/>
        <v>0.76</v>
      </c>
      <c r="N227" t="str">
        <f t="shared" si="22"/>
        <v>❌ NO CAPAZ — Requiere mejora</v>
      </c>
      <c r="O227">
        <f t="shared" si="23"/>
        <v>0.43</v>
      </c>
    </row>
    <row r="228" spans="1:15" x14ac:dyDescent="0.3">
      <c r="A228" t="str">
        <f t="shared" si="18"/>
        <v>MED-227</v>
      </c>
      <c r="B228" t="str">
        <f>INDEX(Lotes!$A$2:$A$53,INT((ROW()-2)/5)+1)</f>
        <v>RETEX-2024-046</v>
      </c>
      <c r="C228" s="2">
        <f>INDEX(Lotes!$B$2:$B$53,INT((ROW()-2)/5)+1)</f>
        <v>46410</v>
      </c>
      <c r="D228">
        <f>INDEX(Lotes!$C$2:$C$53,INT((ROW()-2)/5)+1)</f>
        <v>4</v>
      </c>
      <c r="E228" t="str">
        <f>INDEX(Lotes!$E$2:$E$53,INT((ROW()-2)/5)+1)</f>
        <v>Algodón</v>
      </c>
      <c r="F228">
        <v>98.67</v>
      </c>
      <c r="G228">
        <f>96</f>
        <v>96</v>
      </c>
      <c r="H228">
        <f>100</f>
        <v>100</v>
      </c>
      <c r="I228" t="str">
        <f t="shared" si="19"/>
        <v>✅ OK</v>
      </c>
      <c r="J228" s="6">
        <f>AVERAGE($F$2:F228)</f>
        <v>98.241453744493398</v>
      </c>
      <c r="K228">
        <f>IF(COUNTA($F$2:F228)&lt;20,"",_xlfn.STDEV.P($F$2:F228))</f>
        <v>0.77107288451538569</v>
      </c>
      <c r="L228">
        <f t="shared" si="20"/>
        <v>0.86</v>
      </c>
      <c r="M228">
        <f t="shared" si="21"/>
        <v>0.76</v>
      </c>
      <c r="N228" t="str">
        <f t="shared" si="22"/>
        <v>❌ NO CAPAZ — Requiere mejora</v>
      </c>
      <c r="O228">
        <f t="shared" si="23"/>
        <v>0.02</v>
      </c>
    </row>
    <row r="229" spans="1:15" x14ac:dyDescent="0.3">
      <c r="A229" t="str">
        <f t="shared" si="18"/>
        <v>MED-228</v>
      </c>
      <c r="B229" t="str">
        <f>INDEX(Lotes!$A$2:$A$53,INT((ROW()-2)/5)+1)</f>
        <v>RETEX-2024-046</v>
      </c>
      <c r="C229" s="2">
        <f>INDEX(Lotes!$B$2:$B$53,INT((ROW()-2)/5)+1)</f>
        <v>46410</v>
      </c>
      <c r="D229">
        <f>INDEX(Lotes!$C$2:$C$53,INT((ROW()-2)/5)+1)</f>
        <v>4</v>
      </c>
      <c r="E229" t="str">
        <f>INDEX(Lotes!$E$2:$E$53,INT((ROW()-2)/5)+1)</f>
        <v>Algodón</v>
      </c>
      <c r="F229">
        <v>98.26</v>
      </c>
      <c r="G229">
        <f>96</f>
        <v>96</v>
      </c>
      <c r="H229">
        <f>100</f>
        <v>100</v>
      </c>
      <c r="I229" t="str">
        <f t="shared" si="19"/>
        <v>✅ OK</v>
      </c>
      <c r="J229" s="6">
        <f>AVERAGE($F$2:F229)</f>
        <v>98.241535087719299</v>
      </c>
      <c r="K229">
        <f>IF(COUNTA($F$2:F229)&lt;20,"",_xlfn.STDEV.P($F$2:F229))</f>
        <v>0.76938105312595417</v>
      </c>
      <c r="L229">
        <f t="shared" si="20"/>
        <v>0.87</v>
      </c>
      <c r="M229">
        <f t="shared" si="21"/>
        <v>0.76</v>
      </c>
      <c r="N229" t="str">
        <f t="shared" si="22"/>
        <v>❌ NO CAPAZ — Requiere mejora</v>
      </c>
      <c r="O229">
        <f t="shared" si="23"/>
        <v>-0.65</v>
      </c>
    </row>
    <row r="230" spans="1:15" x14ac:dyDescent="0.3">
      <c r="A230" t="str">
        <f t="shared" si="18"/>
        <v>MED-229</v>
      </c>
      <c r="B230" t="str">
        <f>INDEX(Lotes!$A$2:$A$53,INT((ROW()-2)/5)+1)</f>
        <v>RETEX-2024-046</v>
      </c>
      <c r="C230" s="2">
        <f>INDEX(Lotes!$B$2:$B$53,INT((ROW()-2)/5)+1)</f>
        <v>46410</v>
      </c>
      <c r="D230">
        <f>INDEX(Lotes!$C$2:$C$53,INT((ROW()-2)/5)+1)</f>
        <v>4</v>
      </c>
      <c r="E230" t="str">
        <f>INDEX(Lotes!$E$2:$E$53,INT((ROW()-2)/5)+1)</f>
        <v>Algodón</v>
      </c>
      <c r="F230">
        <v>97.59</v>
      </c>
      <c r="G230">
        <f>96</f>
        <v>96</v>
      </c>
      <c r="H230">
        <f>100</f>
        <v>100</v>
      </c>
      <c r="I230" t="str">
        <f t="shared" si="19"/>
        <v>✅ OK</v>
      </c>
      <c r="J230" s="6">
        <f>AVERAGE($F$2:F230)</f>
        <v>98.238689956331882</v>
      </c>
      <c r="K230">
        <f>IF(COUNTA($F$2:F230)&lt;20,"",_xlfn.STDEV.P($F$2:F230))</f>
        <v>0.76890044269234692</v>
      </c>
      <c r="L230">
        <f t="shared" si="20"/>
        <v>0.87</v>
      </c>
      <c r="M230">
        <f t="shared" si="21"/>
        <v>0.76</v>
      </c>
      <c r="N230" t="str">
        <f t="shared" si="22"/>
        <v>❌ NO CAPAZ — Requiere mejora</v>
      </c>
      <c r="O230">
        <f t="shared" si="23"/>
        <v>-0.5</v>
      </c>
    </row>
    <row r="231" spans="1:15" x14ac:dyDescent="0.3">
      <c r="A231" t="str">
        <f t="shared" si="18"/>
        <v>MED-230</v>
      </c>
      <c r="B231" t="str">
        <f>INDEX(Lotes!$A$2:$A$53,INT((ROW()-2)/5)+1)</f>
        <v>RETEX-2024-046</v>
      </c>
      <c r="C231" s="2">
        <f>INDEX(Lotes!$B$2:$B$53,INT((ROW()-2)/5)+1)</f>
        <v>46410</v>
      </c>
      <c r="D231">
        <f>INDEX(Lotes!$C$2:$C$53,INT((ROW()-2)/5)+1)</f>
        <v>4</v>
      </c>
      <c r="E231" t="str">
        <f>INDEX(Lotes!$E$2:$E$53,INT((ROW()-2)/5)+1)</f>
        <v>Algodón</v>
      </c>
      <c r="F231">
        <v>97.74</v>
      </c>
      <c r="G231">
        <f>96</f>
        <v>96</v>
      </c>
      <c r="H231">
        <f>100</f>
        <v>100</v>
      </c>
      <c r="I231" t="str">
        <f t="shared" si="19"/>
        <v>✅ OK</v>
      </c>
      <c r="J231" s="6">
        <f>AVERAGE($F$2:F231)</f>
        <v>98.236521739130438</v>
      </c>
      <c r="K231">
        <f>IF(COUNTA($F$2:F231)&lt;20,"",_xlfn.STDEV.P($F$2:F231))</f>
        <v>0.76792837469248698</v>
      </c>
      <c r="L231">
        <f t="shared" si="20"/>
        <v>0.87</v>
      </c>
      <c r="M231">
        <f t="shared" si="21"/>
        <v>0.77</v>
      </c>
      <c r="N231" t="str">
        <f t="shared" si="22"/>
        <v>❌ NO CAPAZ — Requiere mejora</v>
      </c>
      <c r="O231">
        <f t="shared" si="23"/>
        <v>0.88</v>
      </c>
    </row>
    <row r="232" spans="1:15" x14ac:dyDescent="0.3">
      <c r="A232" t="str">
        <f t="shared" si="18"/>
        <v>MED-231</v>
      </c>
      <c r="B232" t="str">
        <f>INDEX(Lotes!$A$2:$A$53,INT((ROW()-2)/5)+1)</f>
        <v>RETEX-2024-047</v>
      </c>
      <c r="C232" s="2">
        <f>INDEX(Lotes!$B$2:$B$53,INT((ROW()-2)/5)+1)</f>
        <v>46417</v>
      </c>
      <c r="D232">
        <f>INDEX(Lotes!$C$2:$C$53,INT((ROW()-2)/5)+1)</f>
        <v>5</v>
      </c>
      <c r="E232" t="str">
        <f>INDEX(Lotes!$E$2:$E$53,INT((ROW()-2)/5)+1)</f>
        <v>Poliéster</v>
      </c>
      <c r="F232">
        <v>99.12</v>
      </c>
      <c r="G232">
        <f>96</f>
        <v>96</v>
      </c>
      <c r="H232">
        <f>100</f>
        <v>100</v>
      </c>
      <c r="I232" t="str">
        <f t="shared" si="19"/>
        <v>✅ OK</v>
      </c>
      <c r="J232" s="6">
        <f>AVERAGE($F$2:F232)</f>
        <v>98.240346320346319</v>
      </c>
      <c r="K232">
        <f>IF(COUNTA($F$2:F232)&lt;20,"",_xlfn.STDEV.P($F$2:F232))</f>
        <v>0.7684565187359389</v>
      </c>
      <c r="L232">
        <f t="shared" si="20"/>
        <v>0.87</v>
      </c>
      <c r="M232">
        <f t="shared" si="21"/>
        <v>0.76</v>
      </c>
      <c r="N232" t="str">
        <f t="shared" si="22"/>
        <v>❌ NO CAPAZ — Requiere mejora</v>
      </c>
      <c r="O232">
        <f t="shared" si="23"/>
        <v>0.78</v>
      </c>
    </row>
    <row r="233" spans="1:15" x14ac:dyDescent="0.3">
      <c r="A233" t="str">
        <f t="shared" si="18"/>
        <v>MED-232</v>
      </c>
      <c r="B233" t="str">
        <f>INDEX(Lotes!$A$2:$A$53,INT((ROW()-2)/5)+1)</f>
        <v>RETEX-2024-047</v>
      </c>
      <c r="C233" s="2">
        <f>INDEX(Lotes!$B$2:$B$53,INT((ROW()-2)/5)+1)</f>
        <v>46417</v>
      </c>
      <c r="D233">
        <f>INDEX(Lotes!$C$2:$C$53,INT((ROW()-2)/5)+1)</f>
        <v>5</v>
      </c>
      <c r="E233" t="str">
        <f>INDEX(Lotes!$E$2:$E$53,INT((ROW()-2)/5)+1)</f>
        <v>Poliéster</v>
      </c>
      <c r="F233">
        <v>99.02</v>
      </c>
      <c r="G233">
        <f>96</f>
        <v>96</v>
      </c>
      <c r="H233">
        <f>100</f>
        <v>100</v>
      </c>
      <c r="I233" t="str">
        <f t="shared" si="19"/>
        <v>✅ OK</v>
      </c>
      <c r="J233" s="6">
        <f>AVERAGE($F$2:F233)</f>
        <v>98.243706896551728</v>
      </c>
      <c r="K233">
        <f>IF(COUNTA($F$2:F233)&lt;20,"",_xlfn.STDEV.P($F$2:F233))</f>
        <v>0.76849778472345076</v>
      </c>
      <c r="L233">
        <f t="shared" si="20"/>
        <v>0.87</v>
      </c>
      <c r="M233">
        <f t="shared" si="21"/>
        <v>0.76</v>
      </c>
      <c r="N233" t="str">
        <f t="shared" si="22"/>
        <v>❌ NO CAPAZ — Requiere mejora</v>
      </c>
      <c r="O233">
        <f t="shared" si="23"/>
        <v>0.66</v>
      </c>
    </row>
    <row r="234" spans="1:15" x14ac:dyDescent="0.3">
      <c r="A234" t="str">
        <f t="shared" si="18"/>
        <v>MED-233</v>
      </c>
      <c r="B234" t="str">
        <f>INDEX(Lotes!$A$2:$A$53,INT((ROW()-2)/5)+1)</f>
        <v>RETEX-2024-047</v>
      </c>
      <c r="C234" s="2">
        <f>INDEX(Lotes!$B$2:$B$53,INT((ROW()-2)/5)+1)</f>
        <v>46417</v>
      </c>
      <c r="D234">
        <f>INDEX(Lotes!$C$2:$C$53,INT((ROW()-2)/5)+1)</f>
        <v>5</v>
      </c>
      <c r="E234" t="str">
        <f>INDEX(Lotes!$E$2:$E$53,INT((ROW()-2)/5)+1)</f>
        <v>Poliéster</v>
      </c>
      <c r="F234">
        <v>98.91</v>
      </c>
      <c r="G234">
        <f>96</f>
        <v>96</v>
      </c>
      <c r="H234">
        <f>100</f>
        <v>100</v>
      </c>
      <c r="I234" t="str">
        <f t="shared" si="19"/>
        <v>✅ OK</v>
      </c>
      <c r="J234" s="6">
        <f>AVERAGE($F$2:F234)</f>
        <v>98.246566523605154</v>
      </c>
      <c r="K234">
        <f>IF(COUNTA($F$2:F234)&lt;20,"",_xlfn.STDEV.P($F$2:F234))</f>
        <v>0.76808287402376119</v>
      </c>
      <c r="L234">
        <f t="shared" si="20"/>
        <v>0.87</v>
      </c>
      <c r="M234">
        <f t="shared" si="21"/>
        <v>0.76</v>
      </c>
      <c r="N234" t="str">
        <f t="shared" si="22"/>
        <v>❌ NO CAPAZ — Requiere mejora</v>
      </c>
      <c r="O234">
        <f t="shared" si="23"/>
        <v>0.49</v>
      </c>
    </row>
    <row r="235" spans="1:15" x14ac:dyDescent="0.3">
      <c r="A235" t="str">
        <f t="shared" si="18"/>
        <v>MED-234</v>
      </c>
      <c r="B235" t="str">
        <f>INDEX(Lotes!$A$2:$A$53,INT((ROW()-2)/5)+1)</f>
        <v>RETEX-2024-047</v>
      </c>
      <c r="C235" s="2">
        <f>INDEX(Lotes!$B$2:$B$53,INT((ROW()-2)/5)+1)</f>
        <v>46417</v>
      </c>
      <c r="D235">
        <f>INDEX(Lotes!$C$2:$C$53,INT((ROW()-2)/5)+1)</f>
        <v>5</v>
      </c>
      <c r="E235" t="str">
        <f>INDEX(Lotes!$E$2:$E$53,INT((ROW()-2)/5)+1)</f>
        <v>Poliéster</v>
      </c>
      <c r="F235">
        <v>98.74</v>
      </c>
      <c r="G235">
        <f>96</f>
        <v>96</v>
      </c>
      <c r="H235">
        <f>100</f>
        <v>100</v>
      </c>
      <c r="I235" t="str">
        <f t="shared" si="19"/>
        <v>✅ OK</v>
      </c>
      <c r="J235" s="6">
        <f>AVERAGE($F$2:F235)</f>
        <v>98.248675213675227</v>
      </c>
      <c r="K235">
        <f>IF(COUNTA($F$2:F235)&lt;20,"",_xlfn.STDEV.P($F$2:F235))</f>
        <v>0.7671155021632281</v>
      </c>
      <c r="L235">
        <f t="shared" si="20"/>
        <v>0.87</v>
      </c>
      <c r="M235">
        <f t="shared" si="21"/>
        <v>0.76</v>
      </c>
      <c r="N235" t="str">
        <f t="shared" si="22"/>
        <v>❌ NO CAPAZ — Requiere mejora</v>
      </c>
      <c r="O235">
        <f t="shared" si="23"/>
        <v>0.9</v>
      </c>
    </row>
    <row r="236" spans="1:15" x14ac:dyDescent="0.3">
      <c r="A236" t="str">
        <f t="shared" si="18"/>
        <v>MED-235</v>
      </c>
      <c r="B236" t="str">
        <f>INDEX(Lotes!$A$2:$A$53,INT((ROW()-2)/5)+1)</f>
        <v>RETEX-2024-047</v>
      </c>
      <c r="C236" s="2">
        <f>INDEX(Lotes!$B$2:$B$53,INT((ROW()-2)/5)+1)</f>
        <v>46417</v>
      </c>
      <c r="D236">
        <f>INDEX(Lotes!$C$2:$C$53,INT((ROW()-2)/5)+1)</f>
        <v>5</v>
      </c>
      <c r="E236" t="str">
        <f>INDEX(Lotes!$E$2:$E$53,INT((ROW()-2)/5)+1)</f>
        <v>Poliéster</v>
      </c>
      <c r="F236">
        <v>99.15</v>
      </c>
      <c r="G236">
        <f>96</f>
        <v>96</v>
      </c>
      <c r="H236">
        <f>100</f>
        <v>100</v>
      </c>
      <c r="I236" t="str">
        <f t="shared" si="19"/>
        <v>✅ OK</v>
      </c>
      <c r="J236" s="6">
        <f>AVERAGE($F$2:F236)</f>
        <v>98.252510638297892</v>
      </c>
      <c r="K236">
        <f>IF(COUNTA($F$2:F236)&lt;20,"",_xlfn.STDEV.P($F$2:F236))</f>
        <v>0.76772673197773245</v>
      </c>
      <c r="L236">
        <f t="shared" si="20"/>
        <v>0.87</v>
      </c>
      <c r="M236">
        <f t="shared" si="21"/>
        <v>0.76</v>
      </c>
      <c r="N236" t="str">
        <f t="shared" si="22"/>
        <v>❌ NO CAPAZ — Requiere mejora</v>
      </c>
      <c r="O236">
        <f t="shared" si="23"/>
        <v>-1</v>
      </c>
    </row>
    <row r="237" spans="1:15" x14ac:dyDescent="0.3">
      <c r="A237" t="str">
        <f t="shared" si="18"/>
        <v>MED-236</v>
      </c>
      <c r="B237" t="str">
        <f>INDEX(Lotes!$A$2:$A$53,INT((ROW()-2)/5)+1)</f>
        <v>RETEX-2024-048</v>
      </c>
      <c r="C237" s="2">
        <f>INDEX(Lotes!$B$2:$B$53,INT((ROW()-2)/5)+1)</f>
        <v>46424</v>
      </c>
      <c r="D237">
        <f>INDEX(Lotes!$C$2:$C$53,INT((ROW()-2)/5)+1)</f>
        <v>6</v>
      </c>
      <c r="E237" t="str">
        <f>INDEX(Lotes!$E$2:$E$53,INT((ROW()-2)/5)+1)</f>
        <v>Mezcla</v>
      </c>
      <c r="F237">
        <v>97.25</v>
      </c>
      <c r="G237">
        <f>96</f>
        <v>96</v>
      </c>
      <c r="H237">
        <f>100</f>
        <v>100</v>
      </c>
      <c r="I237" t="str">
        <f t="shared" si="19"/>
        <v>✅ OK</v>
      </c>
      <c r="J237" s="6">
        <f>AVERAGE($F$2:F237)</f>
        <v>98.248262711864427</v>
      </c>
      <c r="K237">
        <f>IF(COUNTA($F$2:F237)&lt;20,"",_xlfn.STDEV.P($F$2:F237))</f>
        <v>0.7688611094071196</v>
      </c>
      <c r="L237">
        <f t="shared" si="20"/>
        <v>0.87</v>
      </c>
      <c r="M237">
        <f t="shared" si="21"/>
        <v>0.76</v>
      </c>
      <c r="N237" t="str">
        <f t="shared" si="22"/>
        <v>❌ NO CAPAZ — Requiere mejora</v>
      </c>
      <c r="O237">
        <f t="shared" si="23"/>
        <v>-0.77</v>
      </c>
    </row>
    <row r="238" spans="1:15" x14ac:dyDescent="0.3">
      <c r="A238" t="str">
        <f t="shared" si="18"/>
        <v>MED-237</v>
      </c>
      <c r="B238" t="str">
        <f>INDEX(Lotes!$A$2:$A$53,INT((ROW()-2)/5)+1)</f>
        <v>RETEX-2024-048</v>
      </c>
      <c r="C238" s="2">
        <f>INDEX(Lotes!$B$2:$B$53,INT((ROW()-2)/5)+1)</f>
        <v>46424</v>
      </c>
      <c r="D238">
        <f>INDEX(Lotes!$C$2:$C$53,INT((ROW()-2)/5)+1)</f>
        <v>6</v>
      </c>
      <c r="E238" t="str">
        <f>INDEX(Lotes!$E$2:$E$53,INT((ROW()-2)/5)+1)</f>
        <v>Mezcla</v>
      </c>
      <c r="F238">
        <v>97.48</v>
      </c>
      <c r="G238">
        <f>96</f>
        <v>96</v>
      </c>
      <c r="H238">
        <f>100</f>
        <v>100</v>
      </c>
      <c r="I238" t="str">
        <f t="shared" si="19"/>
        <v>✅ OK</v>
      </c>
      <c r="J238" s="6">
        <f>AVERAGE($F$2:F238)</f>
        <v>98.245021097046433</v>
      </c>
      <c r="K238">
        <f>IF(COUNTA($F$2:F238)&lt;20,"",_xlfn.STDEV.P($F$2:F238))</f>
        <v>0.76885175192136435</v>
      </c>
      <c r="L238">
        <f t="shared" si="20"/>
        <v>0.87</v>
      </c>
      <c r="M238">
        <f t="shared" si="21"/>
        <v>0.76</v>
      </c>
      <c r="N238" t="str">
        <f t="shared" si="22"/>
        <v>❌ NO CAPAZ — Requiere mejora</v>
      </c>
      <c r="O238">
        <f t="shared" si="23"/>
        <v>-1.1499999999999999</v>
      </c>
    </row>
    <row r="239" spans="1:15" x14ac:dyDescent="0.3">
      <c r="A239" t="str">
        <f t="shared" si="18"/>
        <v>MED-238</v>
      </c>
      <c r="B239" t="str">
        <f>INDEX(Lotes!$A$2:$A$53,INT((ROW()-2)/5)+1)</f>
        <v>RETEX-2024-048</v>
      </c>
      <c r="C239" s="2">
        <f>INDEX(Lotes!$B$2:$B$53,INT((ROW()-2)/5)+1)</f>
        <v>46424</v>
      </c>
      <c r="D239">
        <f>INDEX(Lotes!$C$2:$C$53,INT((ROW()-2)/5)+1)</f>
        <v>6</v>
      </c>
      <c r="E239" t="str">
        <f>INDEX(Lotes!$E$2:$E$53,INT((ROW()-2)/5)+1)</f>
        <v>Mezcla</v>
      </c>
      <c r="F239">
        <v>97.09</v>
      </c>
      <c r="G239">
        <f>96</f>
        <v>96</v>
      </c>
      <c r="H239">
        <f>100</f>
        <v>100</v>
      </c>
      <c r="I239" t="str">
        <f t="shared" si="19"/>
        <v>✅ OK</v>
      </c>
      <c r="J239" s="6">
        <f>AVERAGE($F$2:F239)</f>
        <v>98.240168067226904</v>
      </c>
      <c r="K239">
        <f>IF(COUNTA($F$2:F239)&lt;20,"",_xlfn.STDEV.P($F$2:F239))</f>
        <v>0.77086384283502463</v>
      </c>
      <c r="L239">
        <f t="shared" si="20"/>
        <v>0.86</v>
      </c>
      <c r="M239">
        <f t="shared" si="21"/>
        <v>0.76</v>
      </c>
      <c r="N239" t="str">
        <f t="shared" si="22"/>
        <v>❌ NO CAPAZ — Requiere mejora</v>
      </c>
      <c r="O239">
        <f t="shared" si="23"/>
        <v>-0.09</v>
      </c>
    </row>
    <row r="240" spans="1:15" x14ac:dyDescent="0.3">
      <c r="A240" t="str">
        <f t="shared" si="18"/>
        <v>MED-239</v>
      </c>
      <c r="B240" t="str">
        <f>INDEX(Lotes!$A$2:$A$53,INT((ROW()-2)/5)+1)</f>
        <v>RETEX-2024-048</v>
      </c>
      <c r="C240" s="2">
        <f>INDEX(Lotes!$B$2:$B$53,INT((ROW()-2)/5)+1)</f>
        <v>46424</v>
      </c>
      <c r="D240">
        <f>INDEX(Lotes!$C$2:$C$53,INT((ROW()-2)/5)+1)</f>
        <v>6</v>
      </c>
      <c r="E240" t="str">
        <f>INDEX(Lotes!$E$2:$E$53,INT((ROW()-2)/5)+1)</f>
        <v>Mezcla</v>
      </c>
      <c r="F240">
        <v>98.15</v>
      </c>
      <c r="G240">
        <f>96</f>
        <v>96</v>
      </c>
      <c r="H240">
        <f>100</f>
        <v>100</v>
      </c>
      <c r="I240" t="str">
        <f t="shared" si="19"/>
        <v>✅ OK</v>
      </c>
      <c r="J240" s="6">
        <f>AVERAGE($F$2:F240)</f>
        <v>98.2397907949791</v>
      </c>
      <c r="K240">
        <f>IF(COUNTA($F$2:F240)&lt;20,"",_xlfn.STDEV.P($F$2:F240))</f>
        <v>0.7692714847965737</v>
      </c>
      <c r="L240">
        <f t="shared" si="20"/>
        <v>0.87</v>
      </c>
      <c r="M240">
        <f t="shared" si="21"/>
        <v>0.76</v>
      </c>
      <c r="N240" t="str">
        <f t="shared" si="22"/>
        <v>❌ NO CAPAZ — Requiere mejora</v>
      </c>
      <c r="O240">
        <f t="shared" si="23"/>
        <v>-0.24</v>
      </c>
    </row>
    <row r="241" spans="1:15" x14ac:dyDescent="0.3">
      <c r="A241" t="str">
        <f t="shared" si="18"/>
        <v>MED-240</v>
      </c>
      <c r="B241" t="str">
        <f>INDEX(Lotes!$A$2:$A$53,INT((ROW()-2)/5)+1)</f>
        <v>RETEX-2024-048</v>
      </c>
      <c r="C241" s="2">
        <f>INDEX(Lotes!$B$2:$B$53,INT((ROW()-2)/5)+1)</f>
        <v>46424</v>
      </c>
      <c r="D241">
        <f>INDEX(Lotes!$C$2:$C$53,INT((ROW()-2)/5)+1)</f>
        <v>6</v>
      </c>
      <c r="E241" t="str">
        <f>INDEX(Lotes!$E$2:$E$53,INT((ROW()-2)/5)+1)</f>
        <v>Mezcla</v>
      </c>
      <c r="F241">
        <v>98</v>
      </c>
      <c r="G241">
        <f>96</f>
        <v>96</v>
      </c>
      <c r="H241">
        <f>100</f>
        <v>100</v>
      </c>
      <c r="I241" t="str">
        <f t="shared" si="19"/>
        <v>✅ OK</v>
      </c>
      <c r="J241" s="6">
        <f>AVERAGE($F$2:F241)</f>
        <v>98.238791666666685</v>
      </c>
      <c r="K241">
        <f>IF(COUNTA($F$2:F241)&lt;20,"",_xlfn.STDEV.P($F$2:F241))</f>
        <v>0.76782254238672998</v>
      </c>
      <c r="L241">
        <f t="shared" si="20"/>
        <v>0.87</v>
      </c>
      <c r="M241">
        <f t="shared" si="21"/>
        <v>0.76</v>
      </c>
      <c r="N241" t="str">
        <f t="shared" si="22"/>
        <v>❌ NO CAPAZ — Requiere mejora</v>
      </c>
      <c r="O241">
        <f t="shared" si="23"/>
        <v>-0.02</v>
      </c>
    </row>
    <row r="242" spans="1:15" x14ac:dyDescent="0.3">
      <c r="A242" t="str">
        <f t="shared" si="18"/>
        <v>MED-241</v>
      </c>
      <c r="B242" t="str">
        <f>INDEX(Lotes!$A$2:$A$53,INT((ROW()-2)/5)+1)</f>
        <v>RETEX-2024-049</v>
      </c>
      <c r="C242" s="2">
        <f>INDEX(Lotes!$B$2:$B$53,INT((ROW()-2)/5)+1)</f>
        <v>46431</v>
      </c>
      <c r="D242">
        <f>INDEX(Lotes!$C$2:$C$53,INT((ROW()-2)/5)+1)</f>
        <v>7</v>
      </c>
      <c r="E242" t="str">
        <f>INDEX(Lotes!$E$2:$E$53,INT((ROW()-2)/5)+1)</f>
        <v>Algodón</v>
      </c>
      <c r="F242">
        <v>98.22</v>
      </c>
      <c r="G242">
        <f>96</f>
        <v>96</v>
      </c>
      <c r="H242">
        <f>100</f>
        <v>100</v>
      </c>
      <c r="I242" t="str">
        <f t="shared" si="19"/>
        <v>✅ OK</v>
      </c>
      <c r="J242" s="6">
        <f>AVERAGE($F$2:F242)</f>
        <v>98.238713692946078</v>
      </c>
      <c r="K242">
        <f>IF(COUNTA($F$2:F242)&lt;20,"",_xlfn.STDEV.P($F$2:F242))</f>
        <v>0.76622884582176198</v>
      </c>
      <c r="L242">
        <f t="shared" si="20"/>
        <v>0.87</v>
      </c>
      <c r="M242">
        <f t="shared" si="21"/>
        <v>0.77</v>
      </c>
      <c r="N242" t="str">
        <f t="shared" si="22"/>
        <v>❌ NO CAPAZ — Requiere mejora</v>
      </c>
      <c r="O242">
        <f t="shared" si="23"/>
        <v>0.11</v>
      </c>
    </row>
    <row r="243" spans="1:15" x14ac:dyDescent="0.3">
      <c r="A243" t="str">
        <f t="shared" si="18"/>
        <v>MED-242</v>
      </c>
      <c r="B243" t="str">
        <f>INDEX(Lotes!$A$2:$A$53,INT((ROW()-2)/5)+1)</f>
        <v>RETEX-2024-049</v>
      </c>
      <c r="C243" s="2">
        <f>INDEX(Lotes!$B$2:$B$53,INT((ROW()-2)/5)+1)</f>
        <v>46431</v>
      </c>
      <c r="D243">
        <f>INDEX(Lotes!$C$2:$C$53,INT((ROW()-2)/5)+1)</f>
        <v>7</v>
      </c>
      <c r="E243" t="str">
        <f>INDEX(Lotes!$E$2:$E$53,INT((ROW()-2)/5)+1)</f>
        <v>Algodón</v>
      </c>
      <c r="F243">
        <v>98.35</v>
      </c>
      <c r="G243">
        <f>96</f>
        <v>96</v>
      </c>
      <c r="H243">
        <f>100</f>
        <v>100</v>
      </c>
      <c r="I243" t="str">
        <f t="shared" si="19"/>
        <v>✅ OK</v>
      </c>
      <c r="J243" s="6">
        <f>AVERAGE($F$2:F243)</f>
        <v>98.239173553719027</v>
      </c>
      <c r="K243">
        <f>IF(COUNTA($F$2:F243)&lt;20,"",_xlfn.STDEV.P($F$2:F243))</f>
        <v>0.76467741459487559</v>
      </c>
      <c r="L243">
        <f t="shared" si="20"/>
        <v>0.87</v>
      </c>
      <c r="M243">
        <f t="shared" si="21"/>
        <v>0.77</v>
      </c>
      <c r="N243" t="str">
        <f t="shared" si="22"/>
        <v>❌ NO CAPAZ — Requiere mejora</v>
      </c>
      <c r="O243">
        <f t="shared" si="23"/>
        <v>0.37</v>
      </c>
    </row>
    <row r="244" spans="1:15" x14ac:dyDescent="0.3">
      <c r="A244" t="str">
        <f t="shared" si="18"/>
        <v>MED-243</v>
      </c>
      <c r="B244" t="str">
        <f>INDEX(Lotes!$A$2:$A$53,INT((ROW()-2)/5)+1)</f>
        <v>RETEX-2024-049</v>
      </c>
      <c r="C244" s="2">
        <f>INDEX(Lotes!$B$2:$B$53,INT((ROW()-2)/5)+1)</f>
        <v>46431</v>
      </c>
      <c r="D244">
        <f>INDEX(Lotes!$C$2:$C$53,INT((ROW()-2)/5)+1)</f>
        <v>7</v>
      </c>
      <c r="E244" t="str">
        <f>INDEX(Lotes!$E$2:$E$53,INT((ROW()-2)/5)+1)</f>
        <v>Algodón</v>
      </c>
      <c r="F244">
        <v>98.61</v>
      </c>
      <c r="G244">
        <f>96</f>
        <v>96</v>
      </c>
      <c r="H244">
        <f>100</f>
        <v>100</v>
      </c>
      <c r="I244" t="str">
        <f t="shared" si="19"/>
        <v>✅ OK</v>
      </c>
      <c r="J244" s="6">
        <f>AVERAGE($F$2:F244)</f>
        <v>98.240699588477383</v>
      </c>
      <c r="K244">
        <f>IF(COUNTA($F$2:F244)&lt;20,"",_xlfn.STDEV.P($F$2:F244))</f>
        <v>0.7634715521795723</v>
      </c>
      <c r="L244">
        <f t="shared" si="20"/>
        <v>0.87</v>
      </c>
      <c r="M244">
        <f t="shared" si="21"/>
        <v>0.77</v>
      </c>
      <c r="N244" t="str">
        <f t="shared" si="22"/>
        <v>❌ NO CAPAZ — Requiere mejora</v>
      </c>
      <c r="O244">
        <f t="shared" si="23"/>
        <v>0</v>
      </c>
    </row>
    <row r="245" spans="1:15" x14ac:dyDescent="0.3">
      <c r="A245" t="str">
        <f t="shared" si="18"/>
        <v>MED-244</v>
      </c>
      <c r="B245" t="str">
        <f>INDEX(Lotes!$A$2:$A$53,INT((ROW()-2)/5)+1)</f>
        <v>RETEX-2024-049</v>
      </c>
      <c r="C245" s="2">
        <f>INDEX(Lotes!$B$2:$B$53,INT((ROW()-2)/5)+1)</f>
        <v>46431</v>
      </c>
      <c r="D245">
        <f>INDEX(Lotes!$C$2:$C$53,INT((ROW()-2)/5)+1)</f>
        <v>7</v>
      </c>
      <c r="E245" t="str">
        <f>INDEX(Lotes!$E$2:$E$53,INT((ROW()-2)/5)+1)</f>
        <v>Algodón</v>
      </c>
      <c r="F245">
        <v>98.24</v>
      </c>
      <c r="G245">
        <f>96</f>
        <v>96</v>
      </c>
      <c r="H245">
        <f>100</f>
        <v>100</v>
      </c>
      <c r="I245" t="str">
        <f t="shared" si="19"/>
        <v>✅ OK</v>
      </c>
      <c r="J245" s="6">
        <f>AVERAGE($F$2:F245)</f>
        <v>98.240696721311508</v>
      </c>
      <c r="K245">
        <f>IF(COUNTA($F$2:F245)&lt;20,"",_xlfn.STDEV.P($F$2:F245))</f>
        <v>0.7619054563497224</v>
      </c>
      <c r="L245">
        <f t="shared" si="20"/>
        <v>0.87</v>
      </c>
      <c r="M245">
        <f t="shared" si="21"/>
        <v>0.77</v>
      </c>
      <c r="N245" t="str">
        <f t="shared" si="22"/>
        <v>❌ NO CAPAZ — Requiere mejora</v>
      </c>
      <c r="O245">
        <f t="shared" si="23"/>
        <v>0.21</v>
      </c>
    </row>
    <row r="246" spans="1:15" x14ac:dyDescent="0.3">
      <c r="A246" t="str">
        <f t="shared" si="18"/>
        <v>MED-245</v>
      </c>
      <c r="B246" t="str">
        <f>INDEX(Lotes!$A$2:$A$53,INT((ROW()-2)/5)+1)</f>
        <v>RETEX-2024-049</v>
      </c>
      <c r="C246" s="2">
        <f>INDEX(Lotes!$B$2:$B$53,INT((ROW()-2)/5)+1)</f>
        <v>46431</v>
      </c>
      <c r="D246">
        <f>INDEX(Lotes!$C$2:$C$53,INT((ROW()-2)/5)+1)</f>
        <v>7</v>
      </c>
      <c r="E246" t="str">
        <f>INDEX(Lotes!$E$2:$E$53,INT((ROW()-2)/5)+1)</f>
        <v>Algodón</v>
      </c>
      <c r="F246">
        <v>98.45</v>
      </c>
      <c r="G246">
        <f>96</f>
        <v>96</v>
      </c>
      <c r="H246">
        <f>100</f>
        <v>100</v>
      </c>
      <c r="I246" t="str">
        <f t="shared" si="19"/>
        <v>✅ OK</v>
      </c>
      <c r="J246" s="6">
        <f>AVERAGE($F$2:F246)</f>
        <v>98.241551020408195</v>
      </c>
      <c r="K246">
        <f>IF(COUNTA($F$2:F246)&lt;20,"",_xlfn.STDEV.P($F$2:F246))</f>
        <v>0.76046605101336118</v>
      </c>
      <c r="L246">
        <f t="shared" si="20"/>
        <v>0.88</v>
      </c>
      <c r="M246">
        <f t="shared" si="21"/>
        <v>0.77</v>
      </c>
      <c r="N246" t="str">
        <f t="shared" si="22"/>
        <v>❌ NO CAPAZ — Requiere mejora</v>
      </c>
      <c r="O246">
        <f t="shared" si="23"/>
        <v>0.46</v>
      </c>
    </row>
    <row r="247" spans="1:15" x14ac:dyDescent="0.3">
      <c r="A247" t="str">
        <f t="shared" si="18"/>
        <v>MED-246</v>
      </c>
      <c r="B247" t="str">
        <f>INDEX(Lotes!$A$2:$A$53,INT((ROW()-2)/5)+1)</f>
        <v>RETEX-2024-050</v>
      </c>
      <c r="C247" s="2">
        <f>INDEX(Lotes!$B$2:$B$53,INT((ROW()-2)/5)+1)</f>
        <v>46438</v>
      </c>
      <c r="D247">
        <f>INDEX(Lotes!$C$2:$C$53,INT((ROW()-2)/5)+1)</f>
        <v>8</v>
      </c>
      <c r="E247" t="str">
        <f>INDEX(Lotes!$E$2:$E$53,INT((ROW()-2)/5)+1)</f>
        <v>Poliéster</v>
      </c>
      <c r="F247">
        <v>98.7</v>
      </c>
      <c r="G247">
        <f>96</f>
        <v>96</v>
      </c>
      <c r="H247">
        <f>100</f>
        <v>100</v>
      </c>
      <c r="I247" t="str">
        <f t="shared" si="19"/>
        <v>✅ OK</v>
      </c>
      <c r="J247" s="6">
        <f>AVERAGE($F$2:F247)</f>
        <v>98.243414634146376</v>
      </c>
      <c r="K247">
        <f>IF(COUNTA($F$2:F247)&lt;20,"",_xlfn.STDEV.P($F$2:F247))</f>
        <v>0.75947920674426517</v>
      </c>
      <c r="L247">
        <f t="shared" si="20"/>
        <v>0.88</v>
      </c>
      <c r="M247">
        <f t="shared" si="21"/>
        <v>0.77</v>
      </c>
      <c r="N247" t="str">
        <f t="shared" si="22"/>
        <v>❌ NO CAPAZ — Requiere mejora</v>
      </c>
      <c r="O247">
        <f t="shared" si="23"/>
        <v>0.74</v>
      </c>
    </row>
    <row r="248" spans="1:15" x14ac:dyDescent="0.3">
      <c r="A248" t="str">
        <f t="shared" si="18"/>
        <v>MED-247</v>
      </c>
      <c r="B248" t="str">
        <f>INDEX(Lotes!$A$2:$A$53,INT((ROW()-2)/5)+1)</f>
        <v>RETEX-2024-050</v>
      </c>
      <c r="C248" s="2">
        <f>INDEX(Lotes!$B$2:$B$53,INT((ROW()-2)/5)+1)</f>
        <v>46438</v>
      </c>
      <c r="D248">
        <f>INDEX(Lotes!$C$2:$C$53,INT((ROW()-2)/5)+1)</f>
        <v>8</v>
      </c>
      <c r="E248" t="str">
        <f>INDEX(Lotes!$E$2:$E$53,INT((ROW()-2)/5)+1)</f>
        <v>Poliéster</v>
      </c>
      <c r="F248">
        <v>98.99</v>
      </c>
      <c r="G248">
        <f>96</f>
        <v>96</v>
      </c>
      <c r="H248">
        <f>100</f>
        <v>100</v>
      </c>
      <c r="I248" t="str">
        <f t="shared" si="19"/>
        <v>✅ OK</v>
      </c>
      <c r="J248" s="6">
        <f>AVERAGE($F$2:F248)</f>
        <v>98.246437246963609</v>
      </c>
      <c r="K248">
        <f>IF(COUNTA($F$2:F248)&lt;20,"",_xlfn.STDEV.P($F$2:F248))</f>
        <v>0.75942143111033344</v>
      </c>
      <c r="L248">
        <f t="shared" si="20"/>
        <v>0.88</v>
      </c>
      <c r="M248">
        <f t="shared" si="21"/>
        <v>0.77</v>
      </c>
      <c r="N248" t="str">
        <f t="shared" si="22"/>
        <v>❌ NO CAPAZ — Requiere mejora</v>
      </c>
      <c r="O248">
        <f t="shared" si="23"/>
        <v>0.6</v>
      </c>
    </row>
    <row r="249" spans="1:15" x14ac:dyDescent="0.3">
      <c r="A249" t="str">
        <f t="shared" si="18"/>
        <v>MED-248</v>
      </c>
      <c r="B249" t="str">
        <f>INDEX(Lotes!$A$2:$A$53,INT((ROW()-2)/5)+1)</f>
        <v>RETEX-2024-050</v>
      </c>
      <c r="C249" s="2">
        <f>INDEX(Lotes!$B$2:$B$53,INT((ROW()-2)/5)+1)</f>
        <v>46438</v>
      </c>
      <c r="D249">
        <f>INDEX(Lotes!$C$2:$C$53,INT((ROW()-2)/5)+1)</f>
        <v>8</v>
      </c>
      <c r="E249" t="str">
        <f>INDEX(Lotes!$E$2:$E$53,INT((ROW()-2)/5)+1)</f>
        <v>Poliéster</v>
      </c>
      <c r="F249">
        <v>98.85</v>
      </c>
      <c r="G249">
        <f>96</f>
        <v>96</v>
      </c>
      <c r="H249">
        <f>100</f>
        <v>100</v>
      </c>
      <c r="I249" t="str">
        <f t="shared" si="19"/>
        <v>✅ OK</v>
      </c>
      <c r="J249" s="6">
        <f>AVERAGE($F$2:F249)</f>
        <v>98.248870967741965</v>
      </c>
      <c r="K249">
        <f>IF(COUNTA($F$2:F249)&lt;20,"",_xlfn.STDEV.P($F$2:F249))</f>
        <v>0.75885334729808951</v>
      </c>
      <c r="L249">
        <f t="shared" si="20"/>
        <v>0.88</v>
      </c>
      <c r="M249">
        <f t="shared" si="21"/>
        <v>0.77</v>
      </c>
      <c r="N249" t="str">
        <f t="shared" si="22"/>
        <v>❌ NO CAPAZ — Requiere mejora</v>
      </c>
      <c r="O249">
        <f t="shared" si="23"/>
        <v>0.32</v>
      </c>
    </row>
    <row r="250" spans="1:15" x14ac:dyDescent="0.3">
      <c r="A250" t="str">
        <f t="shared" si="18"/>
        <v>MED-249</v>
      </c>
      <c r="B250" t="str">
        <f>INDEX(Lotes!$A$2:$A$53,INT((ROW()-2)/5)+1)</f>
        <v>RETEX-2024-050</v>
      </c>
      <c r="C250" s="2">
        <f>INDEX(Lotes!$B$2:$B$53,INT((ROW()-2)/5)+1)</f>
        <v>46438</v>
      </c>
      <c r="D250">
        <f>INDEX(Lotes!$C$2:$C$53,INT((ROW()-2)/5)+1)</f>
        <v>8</v>
      </c>
      <c r="E250" t="str">
        <f>INDEX(Lotes!$E$2:$E$53,INT((ROW()-2)/5)+1)</f>
        <v>Poliéster</v>
      </c>
      <c r="F250">
        <v>98.57</v>
      </c>
      <c r="G250">
        <f>96</f>
        <v>96</v>
      </c>
      <c r="H250">
        <f>100</f>
        <v>100</v>
      </c>
      <c r="I250" t="str">
        <f t="shared" si="19"/>
        <v>✅ OK</v>
      </c>
      <c r="J250" s="6">
        <f>AVERAGE($F$2:F250)</f>
        <v>98.250160642570307</v>
      </c>
      <c r="K250">
        <f>IF(COUNTA($F$2:F250)&lt;20,"",_xlfn.STDEV.P($F$2:F250))</f>
        <v>0.75760029509345628</v>
      </c>
      <c r="L250">
        <f t="shared" si="20"/>
        <v>0.88</v>
      </c>
      <c r="M250">
        <f t="shared" si="21"/>
        <v>0.77</v>
      </c>
      <c r="N250" t="str">
        <f t="shared" si="22"/>
        <v>❌ NO CAPAZ — Requiere mejora</v>
      </c>
      <c r="O250">
        <f t="shared" si="23"/>
        <v>1.1299999999999999</v>
      </c>
    </row>
    <row r="251" spans="1:15" x14ac:dyDescent="0.3">
      <c r="A251" t="str">
        <f t="shared" si="18"/>
        <v>MED-250</v>
      </c>
      <c r="B251" t="str">
        <f>INDEX(Lotes!$A$2:$A$53,INT((ROW()-2)/5)+1)</f>
        <v>RETEX-2024-050</v>
      </c>
      <c r="C251" s="2">
        <f>INDEX(Lotes!$B$2:$B$53,INT((ROW()-2)/5)+1)</f>
        <v>46438</v>
      </c>
      <c r="D251">
        <f>INDEX(Lotes!$C$2:$C$53,INT((ROW()-2)/5)+1)</f>
        <v>8</v>
      </c>
      <c r="E251" t="str">
        <f>INDEX(Lotes!$E$2:$E$53,INT((ROW()-2)/5)+1)</f>
        <v>Poliéster</v>
      </c>
      <c r="F251">
        <v>99.38</v>
      </c>
      <c r="G251">
        <f>96</f>
        <v>96</v>
      </c>
      <c r="H251">
        <f>100</f>
        <v>100</v>
      </c>
      <c r="I251" t="str">
        <f t="shared" si="19"/>
        <v>✅ OK</v>
      </c>
      <c r="J251" s="6">
        <f>AVERAGE($F$2:F251)</f>
        <v>98.254680000000036</v>
      </c>
      <c r="K251">
        <f>IF(COUNTA($F$2:F251)&lt;20,"",_xlfn.STDEV.P($F$2:F251))</f>
        <v>0.75943933108576822</v>
      </c>
      <c r="L251">
        <f t="shared" si="20"/>
        <v>0.88</v>
      </c>
      <c r="M251">
        <f t="shared" si="21"/>
        <v>0.77</v>
      </c>
      <c r="N251" t="str">
        <f t="shared" si="22"/>
        <v>❌ NO CAPAZ — Requiere mejora</v>
      </c>
      <c r="O251">
        <f t="shared" si="23"/>
        <v>-1.92</v>
      </c>
    </row>
    <row r="252" spans="1:15" x14ac:dyDescent="0.3">
      <c r="A252" t="str">
        <f t="shared" si="18"/>
        <v>MED-251</v>
      </c>
      <c r="B252" t="str">
        <f>INDEX(Lotes!$A$2:$A$53,INT((ROW()-2)/5)+1)</f>
        <v>RETEX-2024-051</v>
      </c>
      <c r="C252" s="2">
        <f>INDEX(Lotes!$B$2:$B$53,INT((ROW()-2)/5)+1)</f>
        <v>46445</v>
      </c>
      <c r="D252">
        <f>INDEX(Lotes!$C$2:$C$53,INT((ROW()-2)/5)+1)</f>
        <v>9</v>
      </c>
      <c r="E252" t="str">
        <f>INDEX(Lotes!$E$2:$E$53,INT((ROW()-2)/5)+1)</f>
        <v>Mezcla</v>
      </c>
      <c r="F252">
        <v>96.33</v>
      </c>
      <c r="G252">
        <f>96</f>
        <v>96</v>
      </c>
      <c r="H252">
        <f>100</f>
        <v>100</v>
      </c>
      <c r="I252" t="str">
        <f t="shared" si="19"/>
        <v>✅ OK</v>
      </c>
      <c r="J252" s="6">
        <f>AVERAGE($F$2:F252)</f>
        <v>98.247011952191272</v>
      </c>
      <c r="K252">
        <f>IF(COUNTA($F$2:F252)&lt;20,"",_xlfn.STDEV.P($F$2:F252))</f>
        <v>0.76756109575311193</v>
      </c>
      <c r="L252">
        <f t="shared" si="20"/>
        <v>0.87</v>
      </c>
      <c r="M252">
        <f t="shared" si="21"/>
        <v>0.76</v>
      </c>
      <c r="N252" t="str">
        <f t="shared" si="22"/>
        <v>❌ NO CAPAZ — Requiere mejora</v>
      </c>
      <c r="O252">
        <f t="shared" si="23"/>
        <v>-1.58</v>
      </c>
    </row>
    <row r="253" spans="1:15" x14ac:dyDescent="0.3">
      <c r="A253" t="str">
        <f t="shared" si="18"/>
        <v>MED-252</v>
      </c>
      <c r="B253" t="str">
        <f>INDEX(Lotes!$A$2:$A$53,INT((ROW()-2)/5)+1)</f>
        <v>RETEX-2024-051</v>
      </c>
      <c r="C253" s="2">
        <f>INDEX(Lotes!$B$2:$B$53,INT((ROW()-2)/5)+1)</f>
        <v>46445</v>
      </c>
      <c r="D253">
        <f>INDEX(Lotes!$C$2:$C$53,INT((ROW()-2)/5)+1)</f>
        <v>9</v>
      </c>
      <c r="E253" t="str">
        <f>INDEX(Lotes!$E$2:$E$53,INT((ROW()-2)/5)+1)</f>
        <v>Mezcla</v>
      </c>
      <c r="F253">
        <v>96.66</v>
      </c>
      <c r="G253">
        <f>96</f>
        <v>96</v>
      </c>
      <c r="H253">
        <f>100</f>
        <v>100</v>
      </c>
      <c r="I253" t="str">
        <f t="shared" si="19"/>
        <v>✅ OK</v>
      </c>
      <c r="J253" s="6">
        <f>AVERAGE($F$2:F253)</f>
        <v>98.240714285714333</v>
      </c>
      <c r="K253">
        <f>IF(COUNTA($F$2:F253)&lt;20,"",_xlfn.STDEV.P($F$2:F253))</f>
        <v>0.77250692560868217</v>
      </c>
      <c r="L253">
        <f t="shared" si="20"/>
        <v>0.86</v>
      </c>
      <c r="M253">
        <f t="shared" si="21"/>
        <v>0.76</v>
      </c>
      <c r="N253" t="str">
        <f t="shared" si="22"/>
        <v>❌ NO CAPAZ — Requiere mejora</v>
      </c>
      <c r="O253">
        <f t="shared" si="23"/>
        <v>-0.47</v>
      </c>
    </row>
    <row r="254" spans="1:15" x14ac:dyDescent="0.3">
      <c r="A254" t="str">
        <f t="shared" si="18"/>
        <v>MED-253</v>
      </c>
      <c r="B254" t="str">
        <f>INDEX(Lotes!$A$2:$A$53,INT((ROW()-2)/5)+1)</f>
        <v>RETEX-2024-051</v>
      </c>
      <c r="C254" s="2">
        <f>INDEX(Lotes!$B$2:$B$53,INT((ROW()-2)/5)+1)</f>
        <v>46445</v>
      </c>
      <c r="D254">
        <f>INDEX(Lotes!$C$2:$C$53,INT((ROW()-2)/5)+1)</f>
        <v>9</v>
      </c>
      <c r="E254" t="str">
        <f>INDEX(Lotes!$E$2:$E$53,INT((ROW()-2)/5)+1)</f>
        <v>Mezcla</v>
      </c>
      <c r="F254">
        <v>97.77</v>
      </c>
      <c r="G254">
        <f>96</f>
        <v>96</v>
      </c>
      <c r="H254">
        <f>100</f>
        <v>100</v>
      </c>
      <c r="I254" t="str">
        <f t="shared" si="19"/>
        <v>✅ OK</v>
      </c>
      <c r="J254" s="6">
        <f>AVERAGE($F$2:F254)</f>
        <v>98.238853754940749</v>
      </c>
      <c r="K254">
        <f>IF(COUNTA($F$2:F254)&lt;20,"",_xlfn.STDEV.P($F$2:F254))</f>
        <v>0.77154423353692569</v>
      </c>
      <c r="L254">
        <f t="shared" si="20"/>
        <v>0.86</v>
      </c>
      <c r="M254">
        <f t="shared" si="21"/>
        <v>0.76</v>
      </c>
      <c r="N254" t="str">
        <f t="shared" si="22"/>
        <v>❌ NO CAPAZ — Requiere mejora</v>
      </c>
      <c r="O254">
        <f t="shared" si="23"/>
        <v>-0.91</v>
      </c>
    </row>
    <row r="255" spans="1:15" x14ac:dyDescent="0.3">
      <c r="A255" t="str">
        <f t="shared" si="18"/>
        <v>MED-254</v>
      </c>
      <c r="B255" t="str">
        <f>INDEX(Lotes!$A$2:$A$53,INT((ROW()-2)/5)+1)</f>
        <v>RETEX-2024-051</v>
      </c>
      <c r="C255" s="2">
        <f>INDEX(Lotes!$B$2:$B$53,INT((ROW()-2)/5)+1)</f>
        <v>46445</v>
      </c>
      <c r="D255">
        <f>INDEX(Lotes!$C$2:$C$53,INT((ROW()-2)/5)+1)</f>
        <v>9</v>
      </c>
      <c r="E255" t="str">
        <f>INDEX(Lotes!$E$2:$E$53,INT((ROW()-2)/5)+1)</f>
        <v>Mezcla</v>
      </c>
      <c r="F255">
        <v>97.33</v>
      </c>
      <c r="G255">
        <f>96</f>
        <v>96</v>
      </c>
      <c r="H255">
        <f>100</f>
        <v>100</v>
      </c>
      <c r="I255" t="str">
        <f t="shared" si="19"/>
        <v>✅ OK</v>
      </c>
      <c r="J255" s="6">
        <f>AVERAGE($F$2:F255)</f>
        <v>98.235275590551225</v>
      </c>
      <c r="K255">
        <f>IF(COUNTA($F$2:F255)&lt;20,"",_xlfn.STDEV.P($F$2:F255))</f>
        <v>0.77212441041078983</v>
      </c>
      <c r="L255">
        <f t="shared" si="20"/>
        <v>0.86</v>
      </c>
      <c r="M255">
        <f t="shared" si="21"/>
        <v>0.76</v>
      </c>
      <c r="N255" t="str">
        <f t="shared" si="22"/>
        <v>❌ NO CAPAZ — Requiere mejora</v>
      </c>
      <c r="O255">
        <f t="shared" si="23"/>
        <v>-0.67</v>
      </c>
    </row>
    <row r="256" spans="1:15" x14ac:dyDescent="0.3">
      <c r="A256" t="str">
        <f t="shared" si="18"/>
        <v>MED-255</v>
      </c>
      <c r="B256" t="str">
        <f>INDEX(Lotes!$A$2:$A$53,INT((ROW()-2)/5)+1)</f>
        <v>RETEX-2024-051</v>
      </c>
      <c r="C256" s="2">
        <f>INDEX(Lotes!$B$2:$B$53,INT((ROW()-2)/5)+1)</f>
        <v>46445</v>
      </c>
      <c r="D256">
        <f>INDEX(Lotes!$C$2:$C$53,INT((ROW()-2)/5)+1)</f>
        <v>9</v>
      </c>
      <c r="E256" t="str">
        <f>INDEX(Lotes!$E$2:$E$53,INT((ROW()-2)/5)+1)</f>
        <v>Mezcla</v>
      </c>
      <c r="F256">
        <v>97.56</v>
      </c>
      <c r="G256">
        <f>96</f>
        <v>96</v>
      </c>
      <c r="H256">
        <f>100</f>
        <v>100</v>
      </c>
      <c r="I256" t="str">
        <f t="shared" si="19"/>
        <v>✅ OK</v>
      </c>
      <c r="J256" s="6">
        <f>AVERAGE($F$2:F256)</f>
        <v>98.232627450980445</v>
      </c>
      <c r="K256">
        <f>IF(COUNTA($F$2:F256)&lt;20,"",_xlfn.STDEV.P($F$2:F256))</f>
        <v>0.77176380519634946</v>
      </c>
      <c r="L256">
        <f t="shared" si="20"/>
        <v>0.86</v>
      </c>
      <c r="M256">
        <f t="shared" si="21"/>
        <v>0.76</v>
      </c>
      <c r="N256" t="str">
        <f t="shared" si="22"/>
        <v>❌ NO CAPAZ — Requiere mejora</v>
      </c>
      <c r="O256">
        <f t="shared" si="23"/>
        <v>0</v>
      </c>
    </row>
    <row r="257" spans="1:15" x14ac:dyDescent="0.3">
      <c r="A257" t="str">
        <f t="shared" si="18"/>
        <v>MED-256</v>
      </c>
      <c r="B257" t="str">
        <f>INDEX(Lotes!$A$2:$A$53,INT((ROW()-2)/5)+1)</f>
        <v>RETEX-2024-052</v>
      </c>
      <c r="C257" s="2">
        <f>INDEX(Lotes!$B$2:$B$53,INT((ROW()-2)/5)+1)</f>
        <v>46452</v>
      </c>
      <c r="D257">
        <f>INDEX(Lotes!$C$2:$C$53,INT((ROW()-2)/5)+1)</f>
        <v>10</v>
      </c>
      <c r="E257" t="str">
        <f>INDEX(Lotes!$E$2:$E$53,INT((ROW()-2)/5)+1)</f>
        <v>Algodón</v>
      </c>
      <c r="F257">
        <v>98.23</v>
      </c>
      <c r="G257">
        <f>96</f>
        <v>96</v>
      </c>
      <c r="H257">
        <f>100</f>
        <v>100</v>
      </c>
      <c r="I257" t="str">
        <f t="shared" si="19"/>
        <v>✅ OK</v>
      </c>
      <c r="J257" s="6">
        <f>AVERAGE($F$2:F257)</f>
        <v>98.232617187500054</v>
      </c>
      <c r="K257">
        <f>IF(COUNTA($F$2:F257)&lt;20,"",_xlfn.STDEV.P($F$2:F257))</f>
        <v>0.77025499654633145</v>
      </c>
      <c r="L257">
        <f t="shared" si="20"/>
        <v>0.87</v>
      </c>
      <c r="M257">
        <f t="shared" si="21"/>
        <v>0.76</v>
      </c>
      <c r="N257" t="str">
        <f t="shared" si="22"/>
        <v>❌ NO CAPAZ — Requiere mejora</v>
      </c>
      <c r="O257">
        <f t="shared" si="23"/>
        <v>-0.16</v>
      </c>
    </row>
    <row r="258" spans="1:15" x14ac:dyDescent="0.3">
      <c r="A258" t="str">
        <f t="shared" si="18"/>
        <v>MED-257</v>
      </c>
      <c r="B258" t="str">
        <f>INDEX(Lotes!$A$2:$A$53,INT((ROW()-2)/5)+1)</f>
        <v>RETEX-2024-052</v>
      </c>
      <c r="C258" s="2">
        <f>INDEX(Lotes!$B$2:$B$53,INT((ROW()-2)/5)+1)</f>
        <v>46452</v>
      </c>
      <c r="D258">
        <f>INDEX(Lotes!$C$2:$C$53,INT((ROW()-2)/5)+1)</f>
        <v>10</v>
      </c>
      <c r="E258" t="str">
        <f>INDEX(Lotes!$E$2:$E$53,INT((ROW()-2)/5)+1)</f>
        <v>Algodón</v>
      </c>
      <c r="F258">
        <v>98.07</v>
      </c>
      <c r="G258">
        <f>96</f>
        <v>96</v>
      </c>
      <c r="H258">
        <f>100</f>
        <v>100</v>
      </c>
      <c r="I258" t="str">
        <f t="shared" si="19"/>
        <v>✅ OK</v>
      </c>
      <c r="J258" s="6">
        <f>AVERAGE($F$2:F258)</f>
        <v>98.231984435797713</v>
      </c>
      <c r="K258">
        <f>IF(COUNTA($F$2:F258)&lt;20,"",_xlfn.STDEV.P($F$2:F258))</f>
        <v>0.76882164608780612</v>
      </c>
      <c r="L258">
        <f t="shared" si="20"/>
        <v>0.87</v>
      </c>
      <c r="M258">
        <f t="shared" si="21"/>
        <v>0.77</v>
      </c>
      <c r="N258" t="str">
        <f t="shared" si="22"/>
        <v>❌ NO CAPAZ — Requiere mejora</v>
      </c>
      <c r="O258">
        <f t="shared" si="23"/>
        <v>0.47</v>
      </c>
    </row>
    <row r="259" spans="1:15" x14ac:dyDescent="0.3">
      <c r="A259" t="str">
        <f t="shared" ref="A259:A260" si="24">"MED-"&amp;TEXT(ROW()-1,"000")</f>
        <v>MED-258</v>
      </c>
      <c r="B259" t="str">
        <f>INDEX(Lotes!$A$2:$A$53,INT((ROW()-2)/5)+1)</f>
        <v>RETEX-2024-052</v>
      </c>
      <c r="C259" s="2">
        <f>INDEX(Lotes!$B$2:$B$53,INT((ROW()-2)/5)+1)</f>
        <v>46452</v>
      </c>
      <c r="D259">
        <f>INDEX(Lotes!$C$2:$C$53,INT((ROW()-2)/5)+1)</f>
        <v>10</v>
      </c>
      <c r="E259" t="str">
        <f>INDEX(Lotes!$E$2:$E$53,INT((ROW()-2)/5)+1)</f>
        <v>Algodón</v>
      </c>
      <c r="F259">
        <v>98.7</v>
      </c>
      <c r="G259">
        <f>96</f>
        <v>96</v>
      </c>
      <c r="H259">
        <f>100</f>
        <v>100</v>
      </c>
      <c r="I259" t="str">
        <f t="shared" ref="I259:I261" si="25">IF(F259&lt;G259,"❌ NOK - Bajo límite",IF(F259&gt;H259,"❌ NOK - Sobre límite","✅ OK"))</f>
        <v>✅ OK</v>
      </c>
      <c r="J259" s="6">
        <f>AVERAGE($F$2:F259)</f>
        <v>98.233798449612465</v>
      </c>
      <c r="K259">
        <f>IF(COUNTA($F$2:F259)&lt;20,"",_xlfn.STDEV.P($F$2:F259))</f>
        <v>0.76788110130021425</v>
      </c>
      <c r="L259">
        <f t="shared" ref="L259:L261" si="26">IF(K259="","",ROUND((H259-G259)/(6*K259),2))</f>
        <v>0.87</v>
      </c>
      <c r="M259">
        <f t="shared" ref="M259:M261" si="27">IF(K259="","",ROUND(MIN((H259-J259)/(3*K259),(J259-G259)/(3*K259)),2))</f>
        <v>0.77</v>
      </c>
      <c r="N259" t="str">
        <f t="shared" ref="N259:N261" si="28">IF(M259="","⏳ Acumulando datos",
    IF(M259&gt;=1.33,"✅ CAPAZ",
    IF(M259&gt;=1,"⚠️ MARGINAL",
    IF(M259&gt;=0.67,"❌ NO CAPAZ — Requiere mejora",
    "🚨 CRÍTICO — Acción inmediata"))))</f>
        <v>❌ NO CAPAZ — Requiere mejora</v>
      </c>
      <c r="O259">
        <f t="shared" ref="O259:O261" si="29">IF(J260="","",ROUND(F260-J260,2))</f>
        <v>-0.84</v>
      </c>
    </row>
    <row r="260" spans="1:15" x14ac:dyDescent="0.3">
      <c r="A260" t="str">
        <f t="shared" si="24"/>
        <v>MED-259</v>
      </c>
      <c r="B260" t="str">
        <f>INDEX(Lotes!$A$2:$A$53,INT((ROW()-2)/5)+1)</f>
        <v>RETEX-2024-052</v>
      </c>
      <c r="C260" s="2">
        <f>INDEX(Lotes!$B$2:$B$53,INT((ROW()-2)/5)+1)</f>
        <v>46452</v>
      </c>
      <c r="D260">
        <f>INDEX(Lotes!$C$2:$C$53,INT((ROW()-2)/5)+1)</f>
        <v>10</v>
      </c>
      <c r="E260" t="str">
        <f>INDEX(Lotes!$E$2:$E$53,INT((ROW()-2)/5)+1)</f>
        <v>Algodón</v>
      </c>
      <c r="F260">
        <v>97.39</v>
      </c>
      <c r="G260">
        <f>96</f>
        <v>96</v>
      </c>
      <c r="H260">
        <f>100</f>
        <v>100</v>
      </c>
      <c r="I260" t="str">
        <f t="shared" si="25"/>
        <v>✅ OK</v>
      </c>
      <c r="J260" s="6">
        <f>AVERAGE($F$2:F260)</f>
        <v>98.230540540540588</v>
      </c>
      <c r="K260">
        <f>IF(COUNTA($F$2:F260)&lt;20,"",_xlfn.STDEV.P($F$2:F260))</f>
        <v>0.76818173807986212</v>
      </c>
      <c r="L260">
        <f t="shared" si="26"/>
        <v>0.87</v>
      </c>
      <c r="M260">
        <f t="shared" si="27"/>
        <v>0.77</v>
      </c>
      <c r="N260" t="str">
        <f t="shared" si="28"/>
        <v>❌ NO CAPAZ — Requiere mejora</v>
      </c>
      <c r="O260">
        <f t="shared" si="29"/>
        <v>-0.48</v>
      </c>
    </row>
    <row r="261" spans="1:15" x14ac:dyDescent="0.3">
      <c r="A261" t="str">
        <f>"MED-"&amp;TEXT(ROW()-1,"000")</f>
        <v>MED-260</v>
      </c>
      <c r="B261" t="str">
        <f>INDEX(Lotes!$A$2:$A$53,INT((ROW()-2)/5)+1)</f>
        <v>RETEX-2024-052</v>
      </c>
      <c r="C261" s="2">
        <f>INDEX(Lotes!$B$2:$B$53,INT((ROW()-2)/5)+1)</f>
        <v>46452</v>
      </c>
      <c r="D261">
        <f>INDEX(Lotes!$C$2:$C$53,INT((ROW()-2)/5)+1)</f>
        <v>10</v>
      </c>
      <c r="E261" t="str">
        <f>INDEX(Lotes!$E$2:$E$53,INT((ROW()-2)/5)+1)</f>
        <v>Algodón</v>
      </c>
      <c r="F261">
        <v>97.75</v>
      </c>
      <c r="G261">
        <f>96</f>
        <v>96</v>
      </c>
      <c r="H261">
        <f>100</f>
        <v>100</v>
      </c>
      <c r="I261" t="str">
        <f t="shared" si="25"/>
        <v>✅ OK</v>
      </c>
      <c r="J261" s="6">
        <f>AVERAGE($F$2:F261)</f>
        <v>98.228692307692356</v>
      </c>
      <c r="K261">
        <f>IF(COUNTA($F$2:F261)&lt;20,"",_xlfn.STDEV.P($F$2:F261))</f>
        <v>0.76727979899175502</v>
      </c>
      <c r="L261">
        <f t="shared" si="26"/>
        <v>0.87</v>
      </c>
      <c r="M261">
        <f t="shared" si="27"/>
        <v>0.77</v>
      </c>
      <c r="N261" t="str">
        <f t="shared" si="28"/>
        <v>❌ NO CAPAZ — Requiere mejora</v>
      </c>
      <c r="O261" t="str">
        <f t="shared" si="29"/>
        <v/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FE57-0E3B-4DD3-A41C-099BBCA5B12A}">
  <dimension ref="A1:Q101"/>
  <sheetViews>
    <sheetView topLeftCell="A73" workbookViewId="0">
      <selection activeCell="F9" sqref="F9"/>
    </sheetView>
  </sheetViews>
  <sheetFormatPr baseColWidth="10" defaultRowHeight="14.4" x14ac:dyDescent="0.3"/>
  <cols>
    <col min="1" max="1" width="13.88671875" customWidth="1"/>
    <col min="2" max="2" width="14.44140625" bestFit="1" customWidth="1"/>
    <col min="6" max="6" width="12" customWidth="1"/>
    <col min="8" max="9" width="17.44140625" customWidth="1"/>
    <col min="10" max="10" width="12.44140625" customWidth="1"/>
    <col min="11" max="11" width="12" customWidth="1"/>
    <col min="12" max="12" width="15.33203125" customWidth="1"/>
    <col min="13" max="13" width="14.6640625" customWidth="1"/>
    <col min="14" max="14" width="8" customWidth="1"/>
    <col min="15" max="15" width="7.5546875" customWidth="1"/>
    <col min="16" max="16" width="14" customWidth="1"/>
    <col min="17" max="17" width="11.21875" bestFit="1" customWidth="1"/>
  </cols>
  <sheetData>
    <row r="1" spans="1:17" x14ac:dyDescent="0.3">
      <c r="A1" s="1" t="s">
        <v>86</v>
      </c>
      <c r="B1" s="1" t="s">
        <v>74</v>
      </c>
      <c r="C1" s="1" t="s">
        <v>1</v>
      </c>
      <c r="D1" s="1" t="s">
        <v>0</v>
      </c>
      <c r="E1" s="1" t="s">
        <v>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</row>
    <row r="2" spans="1:17" x14ac:dyDescent="0.3">
      <c r="A2" t="str">
        <f>"SUB-"&amp;TEXT(INT((ROW()-2)/5)+1,"000")</f>
        <v>SUB-001</v>
      </c>
      <c r="B2" t="str">
        <f>INDEX(Lotes!$A$2:$A$21,INT((ROW()-2)/5)+1)</f>
        <v>RETEX-2024-001</v>
      </c>
      <c r="C2" s="2">
        <f>INDEX(Lotes!$B$2:$B$21,INT((ROW()-2)/5)+1)</f>
        <v>46095</v>
      </c>
      <c r="D2">
        <f>INDEX(Lotes!$C$2:$C$21,INT((ROW()-2)/5)+1)</f>
        <v>11</v>
      </c>
      <c r="E2" t="str">
        <f>INDEX(Lotes!$F$2:$F$21,INT((ROW()-2)/5)+1)</f>
        <v>Matutino</v>
      </c>
      <c r="F2">
        <f>MOD(ROW()-2,5)+1</f>
        <v>1</v>
      </c>
      <c r="G2">
        <v>194.9</v>
      </c>
      <c r="H2">
        <f>AVERAGE(INDEX($G$2:$G$101,INT((ROW()-2)/5)*5+1):INDEX($G$2:$G$101,INT((ROW()-2)/5)*5+5))</f>
        <v>194.08600000000001</v>
      </c>
      <c r="I2">
        <f>MAX(INDEX($G$2:$G$101,INT((ROW()-2)/5)*5+1):INDEX($G$2:$G$101,INT((ROW()-2)/5)*5+5))-MIN(INDEX($G$2:$G$101,INT((ROW()-2)/5)*5+1):INDEX($G$2:$G$101,INT((ROW()-2)/5)*5+5))</f>
        <v>4.1299999999999955</v>
      </c>
      <c r="J2">
        <f>$L$2+(0.577*$M2)</f>
        <v>198.011976</v>
      </c>
      <c r="K2">
        <f>$L2-(0.577*$M2)</f>
        <v>192.140424</v>
      </c>
      <c r="L2">
        <f>AVERAGE($H$2:$H$101)</f>
        <v>195.0762</v>
      </c>
      <c r="M2">
        <f>AVERAGE($I$2:$I$101)</f>
        <v>5.0880000000000045</v>
      </c>
      <c r="N2">
        <f>2.114*$M2</f>
        <v>10.756032000000008</v>
      </c>
      <c r="O2">
        <f>0*$M2</f>
        <v>0</v>
      </c>
      <c r="P2" t="str">
        <f>IF(H2&gt;J2,"⚠️ FUERA — Encima LCS",IF(H2&lt;K2,"⚠️ FUERA — Bajo LCI","✅ DENTRO"))</f>
        <v>✅ DENTRO</v>
      </c>
      <c r="Q2" t="str">
        <f>IF(I2&gt;N2,"⚠️ FUERA — Encima LCS","✅ DENTRO")</f>
        <v>✅ DENTRO</v>
      </c>
    </row>
    <row r="3" spans="1:17" x14ac:dyDescent="0.3">
      <c r="A3" t="str">
        <f t="shared" ref="A3:A66" si="0">"SUB-"&amp;TEXT(INT((ROW()-2)/5)+1,"000")</f>
        <v>SUB-001</v>
      </c>
      <c r="B3" t="str">
        <f>INDEX(Lotes!$A$2:$A$21,INT((ROW()-2)/5)+1)</f>
        <v>RETEX-2024-001</v>
      </c>
      <c r="C3" s="2">
        <f>INDEX(Lotes!$B$2:$B$21,INT((ROW()-2)/5)+1)</f>
        <v>46095</v>
      </c>
      <c r="D3">
        <f>INDEX(Lotes!$C$2:$C$21,INT((ROW()-2)/5)+1)</f>
        <v>11</v>
      </c>
      <c r="E3" t="str">
        <f>INDEX(Lotes!$F$2:$F$21,INT((ROW()-2)/5)+1)</f>
        <v>Matutino</v>
      </c>
      <c r="F3">
        <f t="shared" ref="F3:F66" si="1">MOD(ROW()-2,5)+1</f>
        <v>2</v>
      </c>
      <c r="G3">
        <v>193.44</v>
      </c>
      <c r="H3">
        <f>AVERAGE(INDEX($G$2:$G$101,INT((ROW()-2)/5)*5+1):INDEX($G$2:$G$101,INT((ROW()-2)/5)*5+5))</f>
        <v>194.08600000000001</v>
      </c>
      <c r="I3">
        <f>MAX(INDEX($G$2:$G$101,INT((ROW()-2)/5)*5+1):INDEX($G$2:$G$101,INT((ROW()-2)/5)*5+5))-MIN(INDEX($G$2:$G$101,INT((ROW()-2)/5)*5+1):INDEX($G$2:$G$101,INT((ROW()-2)/5)*5+5))</f>
        <v>4.1299999999999955</v>
      </c>
      <c r="J3">
        <f t="shared" ref="J3:J66" si="2">$L3+(0.577*$M3)</f>
        <v>198.011976</v>
      </c>
      <c r="K3">
        <f t="shared" ref="K3:K66" si="3">$L3-(0.577*$M3)</f>
        <v>192.140424</v>
      </c>
      <c r="L3">
        <f>AVERAGE($H$2:$H$101)</f>
        <v>195.0762</v>
      </c>
      <c r="M3">
        <f t="shared" ref="M3:M66" si="4">AVERAGE($I$2:$I$101)</f>
        <v>5.0880000000000045</v>
      </c>
      <c r="N3">
        <f t="shared" ref="N3:N66" si="5">2.114*$M3</f>
        <v>10.756032000000008</v>
      </c>
      <c r="O3">
        <f t="shared" ref="O3:O66" si="6">0*$M3</f>
        <v>0</v>
      </c>
      <c r="P3" t="str">
        <f t="shared" ref="P3:P66" si="7">IF(H3&gt;J3,"⚠️ FUERA — Encima LCS",IF(H3&lt;K3,"⚠️ FUERA — Bajo LCI","✅ DENTRO"))</f>
        <v>✅ DENTRO</v>
      </c>
      <c r="Q3" t="str">
        <f t="shared" ref="Q3:Q66" si="8">IF(I3&gt;N3,"⚠️ FUERA — Encima LCS","✅ DENTRO")</f>
        <v>✅ DENTRO</v>
      </c>
    </row>
    <row r="4" spans="1:17" x14ac:dyDescent="0.3">
      <c r="A4" t="str">
        <f t="shared" si="0"/>
        <v>SUB-001</v>
      </c>
      <c r="B4" t="str">
        <f>INDEX(Lotes!$A$2:$A$21,INT((ROW()-2)/5)+1)</f>
        <v>RETEX-2024-001</v>
      </c>
      <c r="C4" s="2">
        <f>INDEX(Lotes!$B$2:$B$21,INT((ROW()-2)/5)+1)</f>
        <v>46095</v>
      </c>
      <c r="D4">
        <f>INDEX(Lotes!$C$2:$C$21,INT((ROW()-2)/5)+1)</f>
        <v>11</v>
      </c>
      <c r="E4" t="str">
        <f>INDEX(Lotes!$F$2:$F$21,INT((ROW()-2)/5)+1)</f>
        <v>Matutino</v>
      </c>
      <c r="F4">
        <f t="shared" si="1"/>
        <v>3</v>
      </c>
      <c r="G4">
        <v>191.82</v>
      </c>
      <c r="H4">
        <f>AVERAGE(INDEX($G$2:$G$101,INT((ROW()-2)/5)*5+1):INDEX($G$2:$G$101,INT((ROW()-2)/5)*5+5))</f>
        <v>194.08600000000001</v>
      </c>
      <c r="I4">
        <f>MAX(INDEX($G$2:$G$101,INT((ROW()-2)/5)*5+1):INDEX($G$2:$G$101,INT((ROW()-2)/5)*5+5))-MIN(INDEX($G$2:$G$101,INT((ROW()-2)/5)*5+1):INDEX($G$2:$G$101,INT((ROW()-2)/5)*5+5))</f>
        <v>4.1299999999999955</v>
      </c>
      <c r="J4">
        <f t="shared" si="2"/>
        <v>198.011976</v>
      </c>
      <c r="K4">
        <f t="shared" si="3"/>
        <v>192.140424</v>
      </c>
      <c r="L4">
        <f t="shared" ref="L4:L66" si="9">AVERAGE($H$2:$H$101)</f>
        <v>195.0762</v>
      </c>
      <c r="M4">
        <f t="shared" si="4"/>
        <v>5.0880000000000045</v>
      </c>
      <c r="N4">
        <f t="shared" si="5"/>
        <v>10.756032000000008</v>
      </c>
      <c r="O4">
        <f t="shared" si="6"/>
        <v>0</v>
      </c>
      <c r="P4" t="str">
        <f t="shared" si="7"/>
        <v>✅ DENTRO</v>
      </c>
      <c r="Q4" t="str">
        <f t="shared" si="8"/>
        <v>✅ DENTRO</v>
      </c>
    </row>
    <row r="5" spans="1:17" x14ac:dyDescent="0.3">
      <c r="A5" t="str">
        <f t="shared" si="0"/>
        <v>SUB-001</v>
      </c>
      <c r="B5" t="str">
        <f>INDEX(Lotes!$A$2:$A$21,INT((ROW()-2)/5)+1)</f>
        <v>RETEX-2024-001</v>
      </c>
      <c r="C5" s="2">
        <f>INDEX(Lotes!$B$2:$B$21,INT((ROW()-2)/5)+1)</f>
        <v>46095</v>
      </c>
      <c r="D5">
        <f>INDEX(Lotes!$C$2:$C$21,INT((ROW()-2)/5)+1)</f>
        <v>11</v>
      </c>
      <c r="E5" t="str">
        <f>INDEX(Lotes!$F$2:$F$21,INT((ROW()-2)/5)+1)</f>
        <v>Matutino</v>
      </c>
      <c r="F5">
        <f t="shared" si="1"/>
        <v>4</v>
      </c>
      <c r="G5">
        <v>195.95</v>
      </c>
      <c r="H5">
        <f>AVERAGE(INDEX($G$2:$G$101,INT((ROW()-2)/5)*5+1):INDEX($G$2:$G$101,INT((ROW()-2)/5)*5+5))</f>
        <v>194.08600000000001</v>
      </c>
      <c r="I5">
        <f>MAX(INDEX($G$2:$G$101,INT((ROW()-2)/5)*5+1):INDEX($G$2:$G$101,INT((ROW()-2)/5)*5+5))-MIN(INDEX($G$2:$G$101,INT((ROW()-2)/5)*5+1):INDEX($G$2:$G$101,INT((ROW()-2)/5)*5+5))</f>
        <v>4.1299999999999955</v>
      </c>
      <c r="J5">
        <f t="shared" si="2"/>
        <v>198.011976</v>
      </c>
      <c r="K5">
        <f t="shared" si="3"/>
        <v>192.140424</v>
      </c>
      <c r="L5">
        <f t="shared" si="9"/>
        <v>195.0762</v>
      </c>
      <c r="M5">
        <f t="shared" si="4"/>
        <v>5.0880000000000045</v>
      </c>
      <c r="N5">
        <f t="shared" si="5"/>
        <v>10.756032000000008</v>
      </c>
      <c r="O5">
        <f t="shared" si="6"/>
        <v>0</v>
      </c>
      <c r="P5" t="str">
        <f t="shared" si="7"/>
        <v>✅ DENTRO</v>
      </c>
      <c r="Q5" t="str">
        <f t="shared" si="8"/>
        <v>✅ DENTRO</v>
      </c>
    </row>
    <row r="6" spans="1:17" x14ac:dyDescent="0.3">
      <c r="A6" t="str">
        <f t="shared" si="0"/>
        <v>SUB-001</v>
      </c>
      <c r="B6" t="str">
        <f>INDEX(Lotes!$A$2:$A$21,INT((ROW()-2)/5)+1)</f>
        <v>RETEX-2024-001</v>
      </c>
      <c r="C6" s="2">
        <f>INDEX(Lotes!$B$2:$B$21,INT((ROW()-2)/5)+1)</f>
        <v>46095</v>
      </c>
      <c r="D6">
        <f>INDEX(Lotes!$C$2:$C$21,INT((ROW()-2)/5)+1)</f>
        <v>11</v>
      </c>
      <c r="E6" t="str">
        <f>INDEX(Lotes!$F$2:$F$21,INT((ROW()-2)/5)+1)</f>
        <v>Matutino</v>
      </c>
      <c r="F6">
        <f t="shared" si="1"/>
        <v>5</v>
      </c>
      <c r="G6">
        <v>194.32</v>
      </c>
      <c r="H6">
        <f>AVERAGE(INDEX($G$2:$G$101,INT((ROW()-2)/5)*5+1):INDEX($G$2:$G$101,INT((ROW()-2)/5)*5+5))</f>
        <v>194.08600000000001</v>
      </c>
      <c r="I6">
        <f>MAX(INDEX($G$2:$G$101,INT((ROW()-2)/5)*5+1):INDEX($G$2:$G$101,INT((ROW()-2)/5)*5+5))-MIN(INDEX($G$2:$G$101,INT((ROW()-2)/5)*5+1):INDEX($G$2:$G$101,INT((ROW()-2)/5)*5+5))</f>
        <v>4.1299999999999955</v>
      </c>
      <c r="J6">
        <f t="shared" si="2"/>
        <v>198.011976</v>
      </c>
      <c r="K6">
        <f t="shared" si="3"/>
        <v>192.140424</v>
      </c>
      <c r="L6">
        <f t="shared" si="9"/>
        <v>195.0762</v>
      </c>
      <c r="M6">
        <f t="shared" si="4"/>
        <v>5.0880000000000045</v>
      </c>
      <c r="N6">
        <f t="shared" si="5"/>
        <v>10.756032000000008</v>
      </c>
      <c r="O6">
        <f t="shared" si="6"/>
        <v>0</v>
      </c>
      <c r="P6" t="str">
        <f t="shared" si="7"/>
        <v>✅ DENTRO</v>
      </c>
      <c r="Q6" t="str">
        <f t="shared" si="8"/>
        <v>✅ DENTRO</v>
      </c>
    </row>
    <row r="7" spans="1:17" x14ac:dyDescent="0.3">
      <c r="A7" t="str">
        <f t="shared" si="0"/>
        <v>SUB-002</v>
      </c>
      <c r="B7" t="str">
        <f>INDEX(Lotes!$A$2:$A$21,INT((ROW()-2)/5)+1)</f>
        <v>RETEX-2024-002</v>
      </c>
      <c r="C7" s="2">
        <f>INDEX(Lotes!$B$2:$B$21,INT((ROW()-2)/5)+1)</f>
        <v>46102</v>
      </c>
      <c r="D7">
        <f>INDEX(Lotes!$C$2:$C$21,INT((ROW()-2)/5)+1)</f>
        <v>12</v>
      </c>
      <c r="E7" t="str">
        <f>INDEX(Lotes!$F$2:$F$21,INT((ROW()-2)/5)+1)</f>
        <v>Vespertino</v>
      </c>
      <c r="F7">
        <f t="shared" si="1"/>
        <v>1</v>
      </c>
      <c r="G7">
        <v>193.81</v>
      </c>
      <c r="H7">
        <f>AVERAGE(INDEX($G$2:$G$101,INT((ROW()-2)/5)*5+1):INDEX($G$2:$G$101,INT((ROW()-2)/5)*5+5))</f>
        <v>195.45</v>
      </c>
      <c r="I7">
        <f>MAX(INDEX($G$2:$G$101,INT((ROW()-2)/5)*5+1):INDEX($G$2:$G$101,INT((ROW()-2)/5)*5+5))-MIN(INDEX($G$2:$G$101,INT((ROW()-2)/5)*5+1):INDEX($G$2:$G$101,INT((ROW()-2)/5)*5+5))</f>
        <v>5.0200000000000102</v>
      </c>
      <c r="J7">
        <f t="shared" si="2"/>
        <v>198.011976</v>
      </c>
      <c r="K7">
        <f t="shared" si="3"/>
        <v>192.140424</v>
      </c>
      <c r="L7">
        <f t="shared" si="9"/>
        <v>195.0762</v>
      </c>
      <c r="M7">
        <f t="shared" si="4"/>
        <v>5.0880000000000045</v>
      </c>
      <c r="N7">
        <f t="shared" si="5"/>
        <v>10.756032000000008</v>
      </c>
      <c r="O7">
        <f t="shared" si="6"/>
        <v>0</v>
      </c>
      <c r="P7" t="str">
        <f t="shared" si="7"/>
        <v>✅ DENTRO</v>
      </c>
      <c r="Q7" t="str">
        <f t="shared" si="8"/>
        <v>✅ DENTRO</v>
      </c>
    </row>
    <row r="8" spans="1:17" x14ac:dyDescent="0.3">
      <c r="A8" t="str">
        <f t="shared" si="0"/>
        <v>SUB-002</v>
      </c>
      <c r="B8" t="str">
        <f>INDEX(Lotes!$A$2:$A$21,INT((ROW()-2)/5)+1)</f>
        <v>RETEX-2024-002</v>
      </c>
      <c r="C8" s="2">
        <f>INDEX(Lotes!$B$2:$B$21,INT((ROW()-2)/5)+1)</f>
        <v>46102</v>
      </c>
      <c r="D8">
        <f>INDEX(Lotes!$C$2:$C$21,INT((ROW()-2)/5)+1)</f>
        <v>12</v>
      </c>
      <c r="E8" t="str">
        <f>INDEX(Lotes!$F$2:$F$21,INT((ROW()-2)/5)+1)</f>
        <v>Vespertino</v>
      </c>
      <c r="F8">
        <f t="shared" si="1"/>
        <v>2</v>
      </c>
      <c r="G8">
        <v>198.83</v>
      </c>
      <c r="H8">
        <f>AVERAGE(INDEX($G$2:$G$101,INT((ROW()-2)/5)*5+1):INDEX($G$2:$G$101,INT((ROW()-2)/5)*5+5))</f>
        <v>195.45</v>
      </c>
      <c r="I8">
        <f>MAX(INDEX($G$2:$G$101,INT((ROW()-2)/5)*5+1):INDEX($G$2:$G$101,INT((ROW()-2)/5)*5+5))-MIN(INDEX($G$2:$G$101,INT((ROW()-2)/5)*5+1):INDEX($G$2:$G$101,INT((ROW()-2)/5)*5+5))</f>
        <v>5.0200000000000102</v>
      </c>
      <c r="J8">
        <f t="shared" si="2"/>
        <v>198.011976</v>
      </c>
      <c r="K8">
        <f t="shared" si="3"/>
        <v>192.140424</v>
      </c>
      <c r="L8">
        <f t="shared" si="9"/>
        <v>195.0762</v>
      </c>
      <c r="M8">
        <f t="shared" si="4"/>
        <v>5.0880000000000045</v>
      </c>
      <c r="N8">
        <f t="shared" si="5"/>
        <v>10.756032000000008</v>
      </c>
      <c r="O8">
        <f t="shared" si="6"/>
        <v>0</v>
      </c>
      <c r="P8" t="str">
        <f t="shared" si="7"/>
        <v>✅ DENTRO</v>
      </c>
      <c r="Q8" t="str">
        <f t="shared" si="8"/>
        <v>✅ DENTRO</v>
      </c>
    </row>
    <row r="9" spans="1:17" x14ac:dyDescent="0.3">
      <c r="A9" t="str">
        <f t="shared" si="0"/>
        <v>SUB-002</v>
      </c>
      <c r="B9" t="str">
        <f>INDEX(Lotes!$A$2:$A$21,INT((ROW()-2)/5)+1)</f>
        <v>RETEX-2024-002</v>
      </c>
      <c r="C9" s="2">
        <f>INDEX(Lotes!$B$2:$B$21,INT((ROW()-2)/5)+1)</f>
        <v>46102</v>
      </c>
      <c r="D9">
        <f>INDEX(Lotes!$C$2:$C$21,INT((ROW()-2)/5)+1)</f>
        <v>12</v>
      </c>
      <c r="E9" t="str">
        <f>INDEX(Lotes!$F$2:$F$21,INT((ROW()-2)/5)+1)</f>
        <v>Vespertino</v>
      </c>
      <c r="F9">
        <f t="shared" si="1"/>
        <v>3</v>
      </c>
      <c r="G9">
        <v>194.82</v>
      </c>
      <c r="H9">
        <f>AVERAGE(INDEX($G$2:$G$101,INT((ROW()-2)/5)*5+1):INDEX($G$2:$G$101,INT((ROW()-2)/5)*5+5))</f>
        <v>195.45</v>
      </c>
      <c r="I9">
        <f>MAX(INDEX($G$2:$G$101,INT((ROW()-2)/5)*5+1):INDEX($G$2:$G$101,INT((ROW()-2)/5)*5+5))-MIN(INDEX($G$2:$G$101,INT((ROW()-2)/5)*5+1):INDEX($G$2:$G$101,INT((ROW()-2)/5)*5+5))</f>
        <v>5.0200000000000102</v>
      </c>
      <c r="J9">
        <f t="shared" si="2"/>
        <v>198.011976</v>
      </c>
      <c r="K9">
        <f t="shared" si="3"/>
        <v>192.140424</v>
      </c>
      <c r="L9">
        <f t="shared" si="9"/>
        <v>195.0762</v>
      </c>
      <c r="M9">
        <f t="shared" si="4"/>
        <v>5.0880000000000045</v>
      </c>
      <c r="N9">
        <f t="shared" si="5"/>
        <v>10.756032000000008</v>
      </c>
      <c r="O9">
        <f t="shared" si="6"/>
        <v>0</v>
      </c>
      <c r="P9" t="str">
        <f t="shared" si="7"/>
        <v>✅ DENTRO</v>
      </c>
      <c r="Q9" t="str">
        <f t="shared" si="8"/>
        <v>✅ DENTRO</v>
      </c>
    </row>
    <row r="10" spans="1:17" x14ac:dyDescent="0.3">
      <c r="A10" t="str">
        <f t="shared" si="0"/>
        <v>SUB-002</v>
      </c>
      <c r="B10" t="str">
        <f>INDEX(Lotes!$A$2:$A$21,INT((ROW()-2)/5)+1)</f>
        <v>RETEX-2024-002</v>
      </c>
      <c r="C10" s="2">
        <f>INDEX(Lotes!$B$2:$B$21,INT((ROW()-2)/5)+1)</f>
        <v>46102</v>
      </c>
      <c r="D10">
        <f>INDEX(Lotes!$C$2:$C$21,INT((ROW()-2)/5)+1)</f>
        <v>12</v>
      </c>
      <c r="E10" t="str">
        <f>INDEX(Lotes!$F$2:$F$21,INT((ROW()-2)/5)+1)</f>
        <v>Vespertino</v>
      </c>
      <c r="F10">
        <f t="shared" si="1"/>
        <v>4</v>
      </c>
      <c r="G10">
        <v>195.47</v>
      </c>
      <c r="H10">
        <f>AVERAGE(INDEX($G$2:$G$101,INT((ROW()-2)/5)*5+1):INDEX($G$2:$G$101,INT((ROW()-2)/5)*5+5))</f>
        <v>195.45</v>
      </c>
      <c r="I10">
        <f>MAX(INDEX($G$2:$G$101,INT((ROW()-2)/5)*5+1):INDEX($G$2:$G$101,INT((ROW()-2)/5)*5+5))-MIN(INDEX($G$2:$G$101,INT((ROW()-2)/5)*5+1):INDEX($G$2:$G$101,INT((ROW()-2)/5)*5+5))</f>
        <v>5.0200000000000102</v>
      </c>
      <c r="J10">
        <f t="shared" si="2"/>
        <v>198.011976</v>
      </c>
      <c r="K10">
        <f t="shared" si="3"/>
        <v>192.140424</v>
      </c>
      <c r="L10">
        <f t="shared" si="9"/>
        <v>195.0762</v>
      </c>
      <c r="M10">
        <f t="shared" si="4"/>
        <v>5.0880000000000045</v>
      </c>
      <c r="N10">
        <f t="shared" si="5"/>
        <v>10.756032000000008</v>
      </c>
      <c r="O10">
        <f t="shared" si="6"/>
        <v>0</v>
      </c>
      <c r="P10" t="str">
        <f t="shared" si="7"/>
        <v>✅ DENTRO</v>
      </c>
      <c r="Q10" t="str">
        <f t="shared" si="8"/>
        <v>✅ DENTRO</v>
      </c>
    </row>
    <row r="11" spans="1:17" x14ac:dyDescent="0.3">
      <c r="A11" t="str">
        <f t="shared" si="0"/>
        <v>SUB-002</v>
      </c>
      <c r="B11" t="str">
        <f>INDEX(Lotes!$A$2:$A$21,INT((ROW()-2)/5)+1)</f>
        <v>RETEX-2024-002</v>
      </c>
      <c r="C11" s="2">
        <f>INDEX(Lotes!$B$2:$B$21,INT((ROW()-2)/5)+1)</f>
        <v>46102</v>
      </c>
      <c r="D11">
        <f>INDEX(Lotes!$C$2:$C$21,INT((ROW()-2)/5)+1)</f>
        <v>12</v>
      </c>
      <c r="E11" t="str">
        <f>INDEX(Lotes!$F$2:$F$21,INT((ROW()-2)/5)+1)</f>
        <v>Vespertino</v>
      </c>
      <c r="F11">
        <f t="shared" si="1"/>
        <v>5</v>
      </c>
      <c r="G11">
        <v>194.32</v>
      </c>
      <c r="H11">
        <f>AVERAGE(INDEX($G$2:$G$101,INT((ROW()-2)/5)*5+1):INDEX($G$2:$G$101,INT((ROW()-2)/5)*5+5))</f>
        <v>195.45</v>
      </c>
      <c r="I11">
        <f>MAX(INDEX($G$2:$G$101,INT((ROW()-2)/5)*5+1):INDEX($G$2:$G$101,INT((ROW()-2)/5)*5+5))-MIN(INDEX($G$2:$G$101,INT((ROW()-2)/5)*5+1):INDEX($G$2:$G$101,INT((ROW()-2)/5)*5+5))</f>
        <v>5.0200000000000102</v>
      </c>
      <c r="J11">
        <f t="shared" si="2"/>
        <v>198.011976</v>
      </c>
      <c r="K11">
        <f t="shared" si="3"/>
        <v>192.140424</v>
      </c>
      <c r="L11">
        <f t="shared" si="9"/>
        <v>195.0762</v>
      </c>
      <c r="M11">
        <f t="shared" si="4"/>
        <v>5.0880000000000045</v>
      </c>
      <c r="N11">
        <f t="shared" si="5"/>
        <v>10.756032000000008</v>
      </c>
      <c r="O11">
        <f t="shared" si="6"/>
        <v>0</v>
      </c>
      <c r="P11" t="str">
        <f t="shared" si="7"/>
        <v>✅ DENTRO</v>
      </c>
      <c r="Q11" t="str">
        <f t="shared" si="8"/>
        <v>✅ DENTRO</v>
      </c>
    </row>
    <row r="12" spans="1:17" x14ac:dyDescent="0.3">
      <c r="A12" t="str">
        <f t="shared" si="0"/>
        <v>SUB-003</v>
      </c>
      <c r="B12" t="str">
        <f>INDEX(Lotes!$A$2:$A$21,INT((ROW()-2)/5)+1)</f>
        <v>RETEX-2024-003</v>
      </c>
      <c r="C12" s="2">
        <f>INDEX(Lotes!$B$2:$B$21,INT((ROW()-2)/5)+1)</f>
        <v>46109</v>
      </c>
      <c r="D12">
        <f>INDEX(Lotes!$C$2:$C$21,INT((ROW()-2)/5)+1)</f>
        <v>13</v>
      </c>
      <c r="E12" t="str">
        <f>INDEX(Lotes!$F$2:$F$21,INT((ROW()-2)/5)+1)</f>
        <v>Nocturno</v>
      </c>
      <c r="F12">
        <f t="shared" si="1"/>
        <v>1</v>
      </c>
      <c r="G12">
        <v>196.98</v>
      </c>
      <c r="H12">
        <f>AVERAGE(INDEX($G$2:$G$101,INT((ROW()-2)/5)*5+1):INDEX($G$2:$G$101,INT((ROW()-2)/5)*5+5))</f>
        <v>195.964</v>
      </c>
      <c r="I12">
        <f>MAX(INDEX($G$2:$G$101,INT((ROW()-2)/5)*5+1):INDEX($G$2:$G$101,INT((ROW()-2)/5)*5+5))-MIN(INDEX($G$2:$G$101,INT((ROW()-2)/5)*5+1):INDEX($G$2:$G$101,INT((ROW()-2)/5)*5+5))</f>
        <v>3.5499999999999829</v>
      </c>
      <c r="J12">
        <f t="shared" si="2"/>
        <v>198.011976</v>
      </c>
      <c r="K12">
        <f t="shared" si="3"/>
        <v>192.140424</v>
      </c>
      <c r="L12">
        <f t="shared" si="9"/>
        <v>195.0762</v>
      </c>
      <c r="M12">
        <f t="shared" si="4"/>
        <v>5.0880000000000045</v>
      </c>
      <c r="N12">
        <f t="shared" si="5"/>
        <v>10.756032000000008</v>
      </c>
      <c r="O12">
        <f t="shared" si="6"/>
        <v>0</v>
      </c>
      <c r="P12" t="str">
        <f t="shared" si="7"/>
        <v>✅ DENTRO</v>
      </c>
      <c r="Q12" t="str">
        <f t="shared" si="8"/>
        <v>✅ DENTRO</v>
      </c>
    </row>
    <row r="13" spans="1:17" x14ac:dyDescent="0.3">
      <c r="A13" t="str">
        <f t="shared" si="0"/>
        <v>SUB-003</v>
      </c>
      <c r="B13" t="str">
        <f>INDEX(Lotes!$A$2:$A$21,INT((ROW()-2)/5)+1)</f>
        <v>RETEX-2024-003</v>
      </c>
      <c r="C13" s="2">
        <f>INDEX(Lotes!$B$2:$B$21,INT((ROW()-2)/5)+1)</f>
        <v>46109</v>
      </c>
      <c r="D13">
        <f>INDEX(Lotes!$C$2:$C$21,INT((ROW()-2)/5)+1)</f>
        <v>13</v>
      </c>
      <c r="E13" t="str">
        <f>INDEX(Lotes!$F$2:$F$21,INT((ROW()-2)/5)+1)</f>
        <v>Nocturno</v>
      </c>
      <c r="F13">
        <f t="shared" si="1"/>
        <v>2</v>
      </c>
      <c r="G13">
        <v>195.07</v>
      </c>
      <c r="H13">
        <f>AVERAGE(INDEX($G$2:$G$101,INT((ROW()-2)/5)*5+1):INDEX($G$2:$G$101,INT((ROW()-2)/5)*5+5))</f>
        <v>195.964</v>
      </c>
      <c r="I13">
        <f>MAX(INDEX($G$2:$G$101,INT((ROW()-2)/5)*5+1):INDEX($G$2:$G$101,INT((ROW()-2)/5)*5+5))-MIN(INDEX($G$2:$G$101,INT((ROW()-2)/5)*5+1):INDEX($G$2:$G$101,INT((ROW()-2)/5)*5+5))</f>
        <v>3.5499999999999829</v>
      </c>
      <c r="J13">
        <f t="shared" si="2"/>
        <v>198.011976</v>
      </c>
      <c r="K13">
        <f t="shared" si="3"/>
        <v>192.140424</v>
      </c>
      <c r="L13">
        <f t="shared" si="9"/>
        <v>195.0762</v>
      </c>
      <c r="M13">
        <f t="shared" si="4"/>
        <v>5.0880000000000045</v>
      </c>
      <c r="N13">
        <f t="shared" si="5"/>
        <v>10.756032000000008</v>
      </c>
      <c r="O13">
        <f t="shared" si="6"/>
        <v>0</v>
      </c>
      <c r="P13" t="str">
        <f t="shared" si="7"/>
        <v>✅ DENTRO</v>
      </c>
      <c r="Q13" t="str">
        <f t="shared" si="8"/>
        <v>✅ DENTRO</v>
      </c>
    </row>
    <row r="14" spans="1:17" x14ac:dyDescent="0.3">
      <c r="A14" t="str">
        <f t="shared" si="0"/>
        <v>SUB-003</v>
      </c>
      <c r="B14" t="str">
        <f>INDEX(Lotes!$A$2:$A$21,INT((ROW()-2)/5)+1)</f>
        <v>RETEX-2024-003</v>
      </c>
      <c r="C14" s="2">
        <f>INDEX(Lotes!$B$2:$B$21,INT((ROW()-2)/5)+1)</f>
        <v>46109</v>
      </c>
      <c r="D14">
        <f>INDEX(Lotes!$C$2:$C$21,INT((ROW()-2)/5)+1)</f>
        <v>13</v>
      </c>
      <c r="E14" t="str">
        <f>INDEX(Lotes!$F$2:$F$21,INT((ROW()-2)/5)+1)</f>
        <v>Nocturno</v>
      </c>
      <c r="F14">
        <f t="shared" si="1"/>
        <v>3</v>
      </c>
      <c r="G14">
        <v>194.98</v>
      </c>
      <c r="H14">
        <f>AVERAGE(INDEX($G$2:$G$101,INT((ROW()-2)/5)*5+1):INDEX($G$2:$G$101,INT((ROW()-2)/5)*5+5))</f>
        <v>195.964</v>
      </c>
      <c r="I14">
        <f>MAX(INDEX($G$2:$G$101,INT((ROW()-2)/5)*5+1):INDEX($G$2:$G$101,INT((ROW()-2)/5)*5+5))-MIN(INDEX($G$2:$G$101,INT((ROW()-2)/5)*5+1):INDEX($G$2:$G$101,INT((ROW()-2)/5)*5+5))</f>
        <v>3.5499999999999829</v>
      </c>
      <c r="J14">
        <f t="shared" si="2"/>
        <v>198.011976</v>
      </c>
      <c r="K14">
        <f t="shared" si="3"/>
        <v>192.140424</v>
      </c>
      <c r="L14">
        <f t="shared" si="9"/>
        <v>195.0762</v>
      </c>
      <c r="M14">
        <f t="shared" si="4"/>
        <v>5.0880000000000045</v>
      </c>
      <c r="N14">
        <f t="shared" si="5"/>
        <v>10.756032000000008</v>
      </c>
      <c r="O14">
        <f t="shared" si="6"/>
        <v>0</v>
      </c>
      <c r="P14" t="str">
        <f t="shared" si="7"/>
        <v>✅ DENTRO</v>
      </c>
      <c r="Q14" t="str">
        <f t="shared" si="8"/>
        <v>✅ DENTRO</v>
      </c>
    </row>
    <row r="15" spans="1:17" x14ac:dyDescent="0.3">
      <c r="A15" t="str">
        <f t="shared" si="0"/>
        <v>SUB-003</v>
      </c>
      <c r="B15" t="str">
        <f>INDEX(Lotes!$A$2:$A$21,INT((ROW()-2)/5)+1)</f>
        <v>RETEX-2024-003</v>
      </c>
      <c r="C15" s="2">
        <f>INDEX(Lotes!$B$2:$B$21,INT((ROW()-2)/5)+1)</f>
        <v>46109</v>
      </c>
      <c r="D15">
        <f>INDEX(Lotes!$C$2:$C$21,INT((ROW()-2)/5)+1)</f>
        <v>13</v>
      </c>
      <c r="E15" t="str">
        <f>INDEX(Lotes!$F$2:$F$21,INT((ROW()-2)/5)+1)</f>
        <v>Nocturno</v>
      </c>
      <c r="F15">
        <f t="shared" si="1"/>
        <v>4</v>
      </c>
      <c r="G15">
        <v>194.62</v>
      </c>
      <c r="H15">
        <f>AVERAGE(INDEX($G$2:$G$101,INT((ROW()-2)/5)*5+1):INDEX($G$2:$G$101,INT((ROW()-2)/5)*5+5))</f>
        <v>195.964</v>
      </c>
      <c r="I15">
        <f>MAX(INDEX($G$2:$G$101,INT((ROW()-2)/5)*5+1):INDEX($G$2:$G$101,INT((ROW()-2)/5)*5+5))-MIN(INDEX($G$2:$G$101,INT((ROW()-2)/5)*5+1):INDEX($G$2:$G$101,INT((ROW()-2)/5)*5+5))</f>
        <v>3.5499999999999829</v>
      </c>
      <c r="J15">
        <f t="shared" si="2"/>
        <v>198.011976</v>
      </c>
      <c r="K15">
        <f t="shared" si="3"/>
        <v>192.140424</v>
      </c>
      <c r="L15">
        <f t="shared" si="9"/>
        <v>195.0762</v>
      </c>
      <c r="M15">
        <f t="shared" si="4"/>
        <v>5.0880000000000045</v>
      </c>
      <c r="N15">
        <f t="shared" si="5"/>
        <v>10.756032000000008</v>
      </c>
      <c r="O15">
        <f t="shared" si="6"/>
        <v>0</v>
      </c>
      <c r="P15" t="str">
        <f t="shared" si="7"/>
        <v>✅ DENTRO</v>
      </c>
      <c r="Q15" t="str">
        <f t="shared" si="8"/>
        <v>✅ DENTRO</v>
      </c>
    </row>
    <row r="16" spans="1:17" x14ac:dyDescent="0.3">
      <c r="A16" t="str">
        <f t="shared" si="0"/>
        <v>SUB-003</v>
      </c>
      <c r="B16" t="str">
        <f>INDEX(Lotes!$A$2:$A$21,INT((ROW()-2)/5)+1)</f>
        <v>RETEX-2024-003</v>
      </c>
      <c r="C16" s="2">
        <f>INDEX(Lotes!$B$2:$B$21,INT((ROW()-2)/5)+1)</f>
        <v>46109</v>
      </c>
      <c r="D16">
        <f>INDEX(Lotes!$C$2:$C$21,INT((ROW()-2)/5)+1)</f>
        <v>13</v>
      </c>
      <c r="E16" t="str">
        <f>INDEX(Lotes!$F$2:$F$21,INT((ROW()-2)/5)+1)</f>
        <v>Nocturno</v>
      </c>
      <c r="F16">
        <f t="shared" si="1"/>
        <v>5</v>
      </c>
      <c r="G16">
        <v>198.17</v>
      </c>
      <c r="H16">
        <f>AVERAGE(INDEX($G$2:$G$101,INT((ROW()-2)/5)*5+1):INDEX($G$2:$G$101,INT((ROW()-2)/5)*5+5))</f>
        <v>195.964</v>
      </c>
      <c r="I16">
        <f>MAX(INDEX($G$2:$G$101,INT((ROW()-2)/5)*5+1):INDEX($G$2:$G$101,INT((ROW()-2)/5)*5+5))-MIN(INDEX($G$2:$G$101,INT((ROW()-2)/5)*5+1):INDEX($G$2:$G$101,INT((ROW()-2)/5)*5+5))</f>
        <v>3.5499999999999829</v>
      </c>
      <c r="J16">
        <f t="shared" si="2"/>
        <v>198.011976</v>
      </c>
      <c r="K16">
        <f t="shared" si="3"/>
        <v>192.140424</v>
      </c>
      <c r="L16">
        <f t="shared" si="9"/>
        <v>195.0762</v>
      </c>
      <c r="M16">
        <f t="shared" si="4"/>
        <v>5.0880000000000045</v>
      </c>
      <c r="N16">
        <f t="shared" si="5"/>
        <v>10.756032000000008</v>
      </c>
      <c r="O16">
        <f t="shared" si="6"/>
        <v>0</v>
      </c>
      <c r="P16" t="str">
        <f t="shared" si="7"/>
        <v>✅ DENTRO</v>
      </c>
      <c r="Q16" t="str">
        <f t="shared" si="8"/>
        <v>✅ DENTRO</v>
      </c>
    </row>
    <row r="17" spans="1:17" x14ac:dyDescent="0.3">
      <c r="A17" t="str">
        <f t="shared" si="0"/>
        <v>SUB-004</v>
      </c>
      <c r="B17" t="str">
        <f>INDEX(Lotes!$A$2:$A$21,INT((ROW()-2)/5)+1)</f>
        <v>RETEX-2024-004</v>
      </c>
      <c r="C17" s="2">
        <f>INDEX(Lotes!$B$2:$B$21,INT((ROW()-2)/5)+1)</f>
        <v>46116</v>
      </c>
      <c r="D17">
        <f>INDEX(Lotes!$C$2:$C$21,INT((ROW()-2)/5)+1)</f>
        <v>14</v>
      </c>
      <c r="E17" t="str">
        <f>INDEX(Lotes!$F$2:$F$21,INT((ROW()-2)/5)+1)</f>
        <v>Matutino</v>
      </c>
      <c r="F17">
        <f t="shared" si="1"/>
        <v>1</v>
      </c>
      <c r="G17">
        <v>191.71</v>
      </c>
      <c r="H17">
        <f>AVERAGE(INDEX($G$2:$G$101,INT((ROW()-2)/5)*5+1):INDEX($G$2:$G$101,INT((ROW()-2)/5)*5+5))</f>
        <v>194.60999999999999</v>
      </c>
      <c r="I17">
        <f>MAX(INDEX($G$2:$G$101,INT((ROW()-2)/5)*5+1):INDEX($G$2:$G$101,INT((ROW()-2)/5)*5+5))-MIN(INDEX($G$2:$G$101,INT((ROW()-2)/5)*5+1):INDEX($G$2:$G$101,INT((ROW()-2)/5)*5+5))</f>
        <v>4.0600000000000023</v>
      </c>
      <c r="J17">
        <f t="shared" si="2"/>
        <v>198.011976</v>
      </c>
      <c r="K17">
        <f t="shared" si="3"/>
        <v>192.140424</v>
      </c>
      <c r="L17">
        <f t="shared" si="9"/>
        <v>195.0762</v>
      </c>
      <c r="M17">
        <f t="shared" si="4"/>
        <v>5.0880000000000045</v>
      </c>
      <c r="N17">
        <f t="shared" si="5"/>
        <v>10.756032000000008</v>
      </c>
      <c r="O17">
        <f t="shared" si="6"/>
        <v>0</v>
      </c>
      <c r="P17" t="str">
        <f t="shared" si="7"/>
        <v>✅ DENTRO</v>
      </c>
      <c r="Q17" t="str">
        <f t="shared" si="8"/>
        <v>✅ DENTRO</v>
      </c>
    </row>
    <row r="18" spans="1:17" x14ac:dyDescent="0.3">
      <c r="A18" t="str">
        <f t="shared" si="0"/>
        <v>SUB-004</v>
      </c>
      <c r="B18" t="str">
        <f>INDEX(Lotes!$A$2:$A$21,INT((ROW()-2)/5)+1)</f>
        <v>RETEX-2024-004</v>
      </c>
      <c r="C18" s="2">
        <f>INDEX(Lotes!$B$2:$B$21,INT((ROW()-2)/5)+1)</f>
        <v>46116</v>
      </c>
      <c r="D18">
        <f>INDEX(Lotes!$C$2:$C$21,INT((ROW()-2)/5)+1)</f>
        <v>14</v>
      </c>
      <c r="E18" t="str">
        <f>INDEX(Lotes!$F$2:$F$21,INT((ROW()-2)/5)+1)</f>
        <v>Matutino</v>
      </c>
      <c r="F18">
        <f t="shared" si="1"/>
        <v>2</v>
      </c>
      <c r="G18">
        <v>195.76</v>
      </c>
      <c r="H18">
        <f>AVERAGE(INDEX($G$2:$G$101,INT((ROW()-2)/5)*5+1):INDEX($G$2:$G$101,INT((ROW()-2)/5)*5+5))</f>
        <v>194.60999999999999</v>
      </c>
      <c r="I18">
        <f>MAX(INDEX($G$2:$G$101,INT((ROW()-2)/5)*5+1):INDEX($G$2:$G$101,INT((ROW()-2)/5)*5+5))-MIN(INDEX($G$2:$G$101,INT((ROW()-2)/5)*5+1):INDEX($G$2:$G$101,INT((ROW()-2)/5)*5+5))</f>
        <v>4.0600000000000023</v>
      </c>
      <c r="J18">
        <f t="shared" si="2"/>
        <v>198.011976</v>
      </c>
      <c r="K18">
        <f t="shared" si="3"/>
        <v>192.140424</v>
      </c>
      <c r="L18">
        <f t="shared" si="9"/>
        <v>195.0762</v>
      </c>
      <c r="M18">
        <f t="shared" si="4"/>
        <v>5.0880000000000045</v>
      </c>
      <c r="N18">
        <f t="shared" si="5"/>
        <v>10.756032000000008</v>
      </c>
      <c r="O18">
        <f t="shared" si="6"/>
        <v>0</v>
      </c>
      <c r="P18" t="str">
        <f t="shared" si="7"/>
        <v>✅ DENTRO</v>
      </c>
      <c r="Q18" t="str">
        <f t="shared" si="8"/>
        <v>✅ DENTRO</v>
      </c>
    </row>
    <row r="19" spans="1:17" x14ac:dyDescent="0.3">
      <c r="A19" t="str">
        <f t="shared" si="0"/>
        <v>SUB-004</v>
      </c>
      <c r="B19" t="str">
        <f>INDEX(Lotes!$A$2:$A$21,INT((ROW()-2)/5)+1)</f>
        <v>RETEX-2024-004</v>
      </c>
      <c r="C19" s="2">
        <f>INDEX(Lotes!$B$2:$B$21,INT((ROW()-2)/5)+1)</f>
        <v>46116</v>
      </c>
      <c r="D19">
        <f>INDEX(Lotes!$C$2:$C$21,INT((ROW()-2)/5)+1)</f>
        <v>14</v>
      </c>
      <c r="E19" t="str">
        <f>INDEX(Lotes!$F$2:$F$21,INT((ROW()-2)/5)+1)</f>
        <v>Matutino</v>
      </c>
      <c r="F19">
        <f t="shared" si="1"/>
        <v>3</v>
      </c>
      <c r="G19">
        <v>194.61</v>
      </c>
      <c r="H19">
        <f>AVERAGE(INDEX($G$2:$G$101,INT((ROW()-2)/5)*5+1):INDEX($G$2:$G$101,INT((ROW()-2)/5)*5+5))</f>
        <v>194.60999999999999</v>
      </c>
      <c r="I19">
        <f>MAX(INDEX($G$2:$G$101,INT((ROW()-2)/5)*5+1):INDEX($G$2:$G$101,INT((ROW()-2)/5)*5+5))-MIN(INDEX($G$2:$G$101,INT((ROW()-2)/5)*5+1):INDEX($G$2:$G$101,INT((ROW()-2)/5)*5+5))</f>
        <v>4.0600000000000023</v>
      </c>
      <c r="J19">
        <f t="shared" si="2"/>
        <v>198.011976</v>
      </c>
      <c r="K19">
        <f t="shared" si="3"/>
        <v>192.140424</v>
      </c>
      <c r="L19">
        <f t="shared" si="9"/>
        <v>195.0762</v>
      </c>
      <c r="M19">
        <f t="shared" si="4"/>
        <v>5.0880000000000045</v>
      </c>
      <c r="N19">
        <f t="shared" si="5"/>
        <v>10.756032000000008</v>
      </c>
      <c r="O19">
        <f t="shared" si="6"/>
        <v>0</v>
      </c>
      <c r="P19" t="str">
        <f t="shared" si="7"/>
        <v>✅ DENTRO</v>
      </c>
      <c r="Q19" t="str">
        <f t="shared" si="8"/>
        <v>✅ DENTRO</v>
      </c>
    </row>
    <row r="20" spans="1:17" x14ac:dyDescent="0.3">
      <c r="A20" t="str">
        <f t="shared" si="0"/>
        <v>SUB-004</v>
      </c>
      <c r="B20" t="str">
        <f>INDEX(Lotes!$A$2:$A$21,INT((ROW()-2)/5)+1)</f>
        <v>RETEX-2024-004</v>
      </c>
      <c r="C20" s="2">
        <f>INDEX(Lotes!$B$2:$B$21,INT((ROW()-2)/5)+1)</f>
        <v>46116</v>
      </c>
      <c r="D20">
        <f>INDEX(Lotes!$C$2:$C$21,INT((ROW()-2)/5)+1)</f>
        <v>14</v>
      </c>
      <c r="E20" t="str">
        <f>INDEX(Lotes!$F$2:$F$21,INT((ROW()-2)/5)+1)</f>
        <v>Matutino</v>
      </c>
      <c r="F20">
        <f t="shared" si="1"/>
        <v>4</v>
      </c>
      <c r="G20">
        <v>195.77</v>
      </c>
      <c r="H20">
        <f>AVERAGE(INDEX($G$2:$G$101,INT((ROW()-2)/5)*5+1):INDEX($G$2:$G$101,INT((ROW()-2)/5)*5+5))</f>
        <v>194.60999999999999</v>
      </c>
      <c r="I20">
        <f>MAX(INDEX($G$2:$G$101,INT((ROW()-2)/5)*5+1):INDEX($G$2:$G$101,INT((ROW()-2)/5)*5+5))-MIN(INDEX($G$2:$G$101,INT((ROW()-2)/5)*5+1):INDEX($G$2:$G$101,INT((ROW()-2)/5)*5+5))</f>
        <v>4.0600000000000023</v>
      </c>
      <c r="J20">
        <f t="shared" si="2"/>
        <v>198.011976</v>
      </c>
      <c r="K20">
        <f t="shared" si="3"/>
        <v>192.140424</v>
      </c>
      <c r="L20">
        <f t="shared" si="9"/>
        <v>195.0762</v>
      </c>
      <c r="M20">
        <f t="shared" si="4"/>
        <v>5.0880000000000045</v>
      </c>
      <c r="N20">
        <f t="shared" si="5"/>
        <v>10.756032000000008</v>
      </c>
      <c r="O20">
        <f t="shared" si="6"/>
        <v>0</v>
      </c>
      <c r="P20" t="str">
        <f t="shared" si="7"/>
        <v>✅ DENTRO</v>
      </c>
      <c r="Q20" t="str">
        <f t="shared" si="8"/>
        <v>✅ DENTRO</v>
      </c>
    </row>
    <row r="21" spans="1:17" x14ac:dyDescent="0.3">
      <c r="A21" t="str">
        <f t="shared" si="0"/>
        <v>SUB-004</v>
      </c>
      <c r="B21" t="str">
        <f>INDEX(Lotes!$A$2:$A$21,INT((ROW()-2)/5)+1)</f>
        <v>RETEX-2024-004</v>
      </c>
      <c r="C21" s="2">
        <f>INDEX(Lotes!$B$2:$B$21,INT((ROW()-2)/5)+1)</f>
        <v>46116</v>
      </c>
      <c r="D21">
        <f>INDEX(Lotes!$C$2:$C$21,INT((ROW()-2)/5)+1)</f>
        <v>14</v>
      </c>
      <c r="E21" t="str">
        <f>INDEX(Lotes!$F$2:$F$21,INT((ROW()-2)/5)+1)</f>
        <v>Matutino</v>
      </c>
      <c r="F21">
        <f t="shared" si="1"/>
        <v>5</v>
      </c>
      <c r="G21">
        <v>195.2</v>
      </c>
      <c r="H21">
        <f>AVERAGE(INDEX($G$2:$G$101,INT((ROW()-2)/5)*5+1):INDEX($G$2:$G$101,INT((ROW()-2)/5)*5+5))</f>
        <v>194.60999999999999</v>
      </c>
      <c r="I21">
        <f>MAX(INDEX($G$2:$G$101,INT((ROW()-2)/5)*5+1):INDEX($G$2:$G$101,INT((ROW()-2)/5)*5+5))-MIN(INDEX($G$2:$G$101,INT((ROW()-2)/5)*5+1):INDEX($G$2:$G$101,INT((ROW()-2)/5)*5+5))</f>
        <v>4.0600000000000023</v>
      </c>
      <c r="J21">
        <f t="shared" si="2"/>
        <v>198.011976</v>
      </c>
      <c r="K21">
        <f t="shared" si="3"/>
        <v>192.140424</v>
      </c>
      <c r="L21">
        <f t="shared" si="9"/>
        <v>195.0762</v>
      </c>
      <c r="M21">
        <f t="shared" si="4"/>
        <v>5.0880000000000045</v>
      </c>
      <c r="N21">
        <f t="shared" si="5"/>
        <v>10.756032000000008</v>
      </c>
      <c r="O21">
        <f t="shared" si="6"/>
        <v>0</v>
      </c>
      <c r="P21" t="str">
        <f t="shared" si="7"/>
        <v>✅ DENTRO</v>
      </c>
      <c r="Q21" t="str">
        <f t="shared" si="8"/>
        <v>✅ DENTRO</v>
      </c>
    </row>
    <row r="22" spans="1:17" x14ac:dyDescent="0.3">
      <c r="A22" t="str">
        <f t="shared" si="0"/>
        <v>SUB-005</v>
      </c>
      <c r="B22" t="str">
        <f>INDEX(Lotes!$A$2:$A$21,INT((ROW()-2)/5)+1)</f>
        <v>RETEX-2024-005</v>
      </c>
      <c r="C22" s="2">
        <f>INDEX(Lotes!$B$2:$B$21,INT((ROW()-2)/5)+1)</f>
        <v>46123</v>
      </c>
      <c r="D22">
        <f>INDEX(Lotes!$C$2:$C$21,INT((ROW()-2)/5)+1)</f>
        <v>15</v>
      </c>
      <c r="E22" t="str">
        <f>INDEX(Lotes!$F$2:$F$21,INT((ROW()-2)/5)+1)</f>
        <v>Vespertino</v>
      </c>
      <c r="F22">
        <f t="shared" si="1"/>
        <v>1</v>
      </c>
      <c r="G22">
        <v>197.51</v>
      </c>
      <c r="H22">
        <f>AVERAGE(INDEX($G$2:$G$101,INT((ROW()-2)/5)*5+1):INDEX($G$2:$G$101,INT((ROW()-2)/5)*5+5))</f>
        <v>195.946</v>
      </c>
      <c r="I22">
        <f>MAX(INDEX($G$2:$G$101,INT((ROW()-2)/5)*5+1):INDEX($G$2:$G$101,INT((ROW()-2)/5)*5+5))-MIN(INDEX($G$2:$G$101,INT((ROW()-2)/5)*5+1):INDEX($G$2:$G$101,INT((ROW()-2)/5)*5+5))</f>
        <v>2.6999999999999886</v>
      </c>
      <c r="J22">
        <f t="shared" si="2"/>
        <v>198.011976</v>
      </c>
      <c r="K22">
        <f t="shared" si="3"/>
        <v>192.140424</v>
      </c>
      <c r="L22">
        <f t="shared" si="9"/>
        <v>195.0762</v>
      </c>
      <c r="M22">
        <f t="shared" si="4"/>
        <v>5.0880000000000045</v>
      </c>
      <c r="N22">
        <f t="shared" si="5"/>
        <v>10.756032000000008</v>
      </c>
      <c r="O22">
        <f t="shared" si="6"/>
        <v>0</v>
      </c>
      <c r="P22" t="str">
        <f t="shared" si="7"/>
        <v>✅ DENTRO</v>
      </c>
      <c r="Q22" t="str">
        <f t="shared" si="8"/>
        <v>✅ DENTRO</v>
      </c>
    </row>
    <row r="23" spans="1:17" x14ac:dyDescent="0.3">
      <c r="A23" t="str">
        <f t="shared" si="0"/>
        <v>SUB-005</v>
      </c>
      <c r="B23" t="str">
        <f>INDEX(Lotes!$A$2:$A$21,INT((ROW()-2)/5)+1)</f>
        <v>RETEX-2024-005</v>
      </c>
      <c r="C23" s="2">
        <f>INDEX(Lotes!$B$2:$B$21,INT((ROW()-2)/5)+1)</f>
        <v>46123</v>
      </c>
      <c r="D23">
        <f>INDEX(Lotes!$C$2:$C$21,INT((ROW()-2)/5)+1)</f>
        <v>15</v>
      </c>
      <c r="E23" t="str">
        <f>INDEX(Lotes!$F$2:$F$21,INT((ROW()-2)/5)+1)</f>
        <v>Vespertino</v>
      </c>
      <c r="F23">
        <f t="shared" si="1"/>
        <v>2</v>
      </c>
      <c r="G23">
        <v>194.86</v>
      </c>
      <c r="H23">
        <f>AVERAGE(INDEX($G$2:$G$101,INT((ROW()-2)/5)*5+1):INDEX($G$2:$G$101,INT((ROW()-2)/5)*5+5))</f>
        <v>195.946</v>
      </c>
      <c r="I23">
        <f>MAX(INDEX($G$2:$G$101,INT((ROW()-2)/5)*5+1):INDEX($G$2:$G$101,INT((ROW()-2)/5)*5+5))-MIN(INDEX($G$2:$G$101,INT((ROW()-2)/5)*5+1):INDEX($G$2:$G$101,INT((ROW()-2)/5)*5+5))</f>
        <v>2.6999999999999886</v>
      </c>
      <c r="J23">
        <f t="shared" si="2"/>
        <v>198.011976</v>
      </c>
      <c r="K23">
        <f t="shared" si="3"/>
        <v>192.140424</v>
      </c>
      <c r="L23">
        <f t="shared" si="9"/>
        <v>195.0762</v>
      </c>
      <c r="M23">
        <f t="shared" si="4"/>
        <v>5.0880000000000045</v>
      </c>
      <c r="N23">
        <f t="shared" si="5"/>
        <v>10.756032000000008</v>
      </c>
      <c r="O23">
        <f t="shared" si="6"/>
        <v>0</v>
      </c>
      <c r="P23" t="str">
        <f t="shared" si="7"/>
        <v>✅ DENTRO</v>
      </c>
      <c r="Q23" t="str">
        <f t="shared" si="8"/>
        <v>✅ DENTRO</v>
      </c>
    </row>
    <row r="24" spans="1:17" x14ac:dyDescent="0.3">
      <c r="A24" t="str">
        <f t="shared" si="0"/>
        <v>SUB-005</v>
      </c>
      <c r="B24" t="str">
        <f>INDEX(Lotes!$A$2:$A$21,INT((ROW()-2)/5)+1)</f>
        <v>RETEX-2024-005</v>
      </c>
      <c r="C24" s="2">
        <f>INDEX(Lotes!$B$2:$B$21,INT((ROW()-2)/5)+1)</f>
        <v>46123</v>
      </c>
      <c r="D24">
        <f>INDEX(Lotes!$C$2:$C$21,INT((ROW()-2)/5)+1)</f>
        <v>15</v>
      </c>
      <c r="E24" t="str">
        <f>INDEX(Lotes!$F$2:$F$21,INT((ROW()-2)/5)+1)</f>
        <v>Vespertino</v>
      </c>
      <c r="F24">
        <f t="shared" si="1"/>
        <v>3</v>
      </c>
      <c r="G24">
        <v>196.79</v>
      </c>
      <c r="H24">
        <f>AVERAGE(INDEX($G$2:$G$101,INT((ROW()-2)/5)*5+1):INDEX($G$2:$G$101,INT((ROW()-2)/5)*5+5))</f>
        <v>195.946</v>
      </c>
      <c r="I24">
        <f>MAX(INDEX($G$2:$G$101,INT((ROW()-2)/5)*5+1):INDEX($G$2:$G$101,INT((ROW()-2)/5)*5+5))-MIN(INDEX($G$2:$G$101,INT((ROW()-2)/5)*5+1):INDEX($G$2:$G$101,INT((ROW()-2)/5)*5+5))</f>
        <v>2.6999999999999886</v>
      </c>
      <c r="J24">
        <f t="shared" si="2"/>
        <v>198.011976</v>
      </c>
      <c r="K24">
        <f t="shared" si="3"/>
        <v>192.140424</v>
      </c>
      <c r="L24">
        <f t="shared" si="9"/>
        <v>195.0762</v>
      </c>
      <c r="M24">
        <f t="shared" si="4"/>
        <v>5.0880000000000045</v>
      </c>
      <c r="N24">
        <f t="shared" si="5"/>
        <v>10.756032000000008</v>
      </c>
      <c r="O24">
        <f t="shared" si="6"/>
        <v>0</v>
      </c>
      <c r="P24" t="str">
        <f t="shared" si="7"/>
        <v>✅ DENTRO</v>
      </c>
      <c r="Q24" t="str">
        <f t="shared" si="8"/>
        <v>✅ DENTRO</v>
      </c>
    </row>
    <row r="25" spans="1:17" x14ac:dyDescent="0.3">
      <c r="A25" t="str">
        <f t="shared" si="0"/>
        <v>SUB-005</v>
      </c>
      <c r="B25" t="str">
        <f>INDEX(Lotes!$A$2:$A$21,INT((ROW()-2)/5)+1)</f>
        <v>RETEX-2024-005</v>
      </c>
      <c r="C25" s="2">
        <f>INDEX(Lotes!$B$2:$B$21,INT((ROW()-2)/5)+1)</f>
        <v>46123</v>
      </c>
      <c r="D25">
        <f>INDEX(Lotes!$C$2:$C$21,INT((ROW()-2)/5)+1)</f>
        <v>15</v>
      </c>
      <c r="E25" t="str">
        <f>INDEX(Lotes!$F$2:$F$21,INT((ROW()-2)/5)+1)</f>
        <v>Vespertino</v>
      </c>
      <c r="F25">
        <f t="shared" si="1"/>
        <v>4</v>
      </c>
      <c r="G25">
        <v>195.76</v>
      </c>
      <c r="H25">
        <f>AVERAGE(INDEX($G$2:$G$101,INT((ROW()-2)/5)*5+1):INDEX($G$2:$G$101,INT((ROW()-2)/5)*5+5))</f>
        <v>195.946</v>
      </c>
      <c r="I25">
        <f>MAX(INDEX($G$2:$G$101,INT((ROW()-2)/5)*5+1):INDEX($G$2:$G$101,INT((ROW()-2)/5)*5+5))-MIN(INDEX($G$2:$G$101,INT((ROW()-2)/5)*5+1):INDEX($G$2:$G$101,INT((ROW()-2)/5)*5+5))</f>
        <v>2.6999999999999886</v>
      </c>
      <c r="J25">
        <f t="shared" si="2"/>
        <v>198.011976</v>
      </c>
      <c r="K25">
        <f t="shared" si="3"/>
        <v>192.140424</v>
      </c>
      <c r="L25">
        <f t="shared" si="9"/>
        <v>195.0762</v>
      </c>
      <c r="M25">
        <f t="shared" si="4"/>
        <v>5.0880000000000045</v>
      </c>
      <c r="N25">
        <f t="shared" si="5"/>
        <v>10.756032000000008</v>
      </c>
      <c r="O25">
        <f t="shared" si="6"/>
        <v>0</v>
      </c>
      <c r="P25" t="str">
        <f t="shared" si="7"/>
        <v>✅ DENTRO</v>
      </c>
      <c r="Q25" t="str">
        <f t="shared" si="8"/>
        <v>✅ DENTRO</v>
      </c>
    </row>
    <row r="26" spans="1:17" x14ac:dyDescent="0.3">
      <c r="A26" t="str">
        <f t="shared" si="0"/>
        <v>SUB-005</v>
      </c>
      <c r="B26" t="str">
        <f>INDEX(Lotes!$A$2:$A$21,INT((ROW()-2)/5)+1)</f>
        <v>RETEX-2024-005</v>
      </c>
      <c r="C26" s="2">
        <f>INDEX(Lotes!$B$2:$B$21,INT((ROW()-2)/5)+1)</f>
        <v>46123</v>
      </c>
      <c r="D26">
        <f>INDEX(Lotes!$C$2:$C$21,INT((ROW()-2)/5)+1)</f>
        <v>15</v>
      </c>
      <c r="E26" t="str">
        <f>INDEX(Lotes!$F$2:$F$21,INT((ROW()-2)/5)+1)</f>
        <v>Vespertino</v>
      </c>
      <c r="F26">
        <f t="shared" si="1"/>
        <v>5</v>
      </c>
      <c r="G26">
        <v>194.81</v>
      </c>
      <c r="H26">
        <f>AVERAGE(INDEX($G$2:$G$101,INT((ROW()-2)/5)*5+1):INDEX($G$2:$G$101,INT((ROW()-2)/5)*5+5))</f>
        <v>195.946</v>
      </c>
      <c r="I26">
        <f>MAX(INDEX($G$2:$G$101,INT((ROW()-2)/5)*5+1):INDEX($G$2:$G$101,INT((ROW()-2)/5)*5+5))-MIN(INDEX($G$2:$G$101,INT((ROW()-2)/5)*5+1):INDEX($G$2:$G$101,INT((ROW()-2)/5)*5+5))</f>
        <v>2.6999999999999886</v>
      </c>
      <c r="J26">
        <f t="shared" si="2"/>
        <v>198.011976</v>
      </c>
      <c r="K26">
        <f t="shared" si="3"/>
        <v>192.140424</v>
      </c>
      <c r="L26">
        <f t="shared" si="9"/>
        <v>195.0762</v>
      </c>
      <c r="M26">
        <f t="shared" si="4"/>
        <v>5.0880000000000045</v>
      </c>
      <c r="N26">
        <f t="shared" si="5"/>
        <v>10.756032000000008</v>
      </c>
      <c r="O26">
        <f t="shared" si="6"/>
        <v>0</v>
      </c>
      <c r="P26" t="str">
        <f t="shared" si="7"/>
        <v>✅ DENTRO</v>
      </c>
      <c r="Q26" t="str">
        <f t="shared" si="8"/>
        <v>✅ DENTRO</v>
      </c>
    </row>
    <row r="27" spans="1:17" x14ac:dyDescent="0.3">
      <c r="A27" t="str">
        <f t="shared" si="0"/>
        <v>SUB-006</v>
      </c>
      <c r="B27" t="str">
        <f>INDEX(Lotes!$A$2:$A$21,INT((ROW()-2)/5)+1)</f>
        <v>RETEX-2024-006</v>
      </c>
      <c r="C27" s="2">
        <f>INDEX(Lotes!$B$2:$B$21,INT((ROW()-2)/5)+1)</f>
        <v>46130</v>
      </c>
      <c r="D27">
        <f>INDEX(Lotes!$C$2:$C$21,INT((ROW()-2)/5)+1)</f>
        <v>16</v>
      </c>
      <c r="E27" t="str">
        <f>INDEX(Lotes!$F$2:$F$21,INT((ROW()-2)/5)+1)</f>
        <v>Nocturno</v>
      </c>
      <c r="F27">
        <f t="shared" si="1"/>
        <v>1</v>
      </c>
      <c r="G27">
        <v>192.33</v>
      </c>
      <c r="H27">
        <f>AVERAGE(INDEX($G$2:$G$101,INT((ROW()-2)/5)*5+1):INDEX($G$2:$G$101,INT((ROW()-2)/5)*5+5))</f>
        <v>194.07800000000003</v>
      </c>
      <c r="I27">
        <f>MAX(INDEX($G$2:$G$101,INT((ROW()-2)/5)*5+1):INDEX($G$2:$G$101,INT((ROW()-2)/5)*5+5))-MIN(INDEX($G$2:$G$101,INT((ROW()-2)/5)*5+1):INDEX($G$2:$G$101,INT((ROW()-2)/5)*5+5))</f>
        <v>5.5200000000000102</v>
      </c>
      <c r="J27">
        <f t="shared" si="2"/>
        <v>198.011976</v>
      </c>
      <c r="K27">
        <f t="shared" si="3"/>
        <v>192.140424</v>
      </c>
      <c r="L27">
        <f t="shared" si="9"/>
        <v>195.0762</v>
      </c>
      <c r="M27">
        <f t="shared" si="4"/>
        <v>5.0880000000000045</v>
      </c>
      <c r="N27">
        <f t="shared" si="5"/>
        <v>10.756032000000008</v>
      </c>
      <c r="O27">
        <f t="shared" si="6"/>
        <v>0</v>
      </c>
      <c r="P27" t="str">
        <f t="shared" si="7"/>
        <v>✅ DENTRO</v>
      </c>
      <c r="Q27" t="str">
        <f t="shared" si="8"/>
        <v>✅ DENTRO</v>
      </c>
    </row>
    <row r="28" spans="1:17" x14ac:dyDescent="0.3">
      <c r="A28" t="str">
        <f t="shared" si="0"/>
        <v>SUB-006</v>
      </c>
      <c r="B28" t="str">
        <f>INDEX(Lotes!$A$2:$A$21,INT((ROW()-2)/5)+1)</f>
        <v>RETEX-2024-006</v>
      </c>
      <c r="C28" s="2">
        <f>INDEX(Lotes!$B$2:$B$21,INT((ROW()-2)/5)+1)</f>
        <v>46130</v>
      </c>
      <c r="D28">
        <f>INDEX(Lotes!$C$2:$C$21,INT((ROW()-2)/5)+1)</f>
        <v>16</v>
      </c>
      <c r="E28" t="str">
        <f>INDEX(Lotes!$F$2:$F$21,INT((ROW()-2)/5)+1)</f>
        <v>Nocturno</v>
      </c>
      <c r="F28">
        <f t="shared" si="1"/>
        <v>2</v>
      </c>
      <c r="G28">
        <v>196.49</v>
      </c>
      <c r="H28">
        <f>AVERAGE(INDEX($G$2:$G$101,INT((ROW()-2)/5)*5+1):INDEX($G$2:$G$101,INT((ROW()-2)/5)*5+5))</f>
        <v>194.07800000000003</v>
      </c>
      <c r="I28">
        <f>MAX(INDEX($G$2:$G$101,INT((ROW()-2)/5)*5+1):INDEX($G$2:$G$101,INT((ROW()-2)/5)*5+5))-MIN(INDEX($G$2:$G$101,INT((ROW()-2)/5)*5+1):INDEX($G$2:$G$101,INT((ROW()-2)/5)*5+5))</f>
        <v>5.5200000000000102</v>
      </c>
      <c r="J28">
        <f t="shared" si="2"/>
        <v>198.011976</v>
      </c>
      <c r="K28">
        <f t="shared" si="3"/>
        <v>192.140424</v>
      </c>
      <c r="L28">
        <f t="shared" si="9"/>
        <v>195.0762</v>
      </c>
      <c r="M28">
        <f t="shared" si="4"/>
        <v>5.0880000000000045</v>
      </c>
      <c r="N28">
        <f t="shared" si="5"/>
        <v>10.756032000000008</v>
      </c>
      <c r="O28">
        <f t="shared" si="6"/>
        <v>0</v>
      </c>
      <c r="P28" t="str">
        <f t="shared" si="7"/>
        <v>✅ DENTRO</v>
      </c>
      <c r="Q28" t="str">
        <f t="shared" si="8"/>
        <v>✅ DENTRO</v>
      </c>
    </row>
    <row r="29" spans="1:17" x14ac:dyDescent="0.3">
      <c r="A29" t="str">
        <f t="shared" si="0"/>
        <v>SUB-006</v>
      </c>
      <c r="B29" t="str">
        <f>INDEX(Lotes!$A$2:$A$21,INT((ROW()-2)/5)+1)</f>
        <v>RETEX-2024-006</v>
      </c>
      <c r="C29" s="2">
        <f>INDEX(Lotes!$B$2:$B$21,INT((ROW()-2)/5)+1)</f>
        <v>46130</v>
      </c>
      <c r="D29">
        <f>INDEX(Lotes!$C$2:$C$21,INT((ROW()-2)/5)+1)</f>
        <v>16</v>
      </c>
      <c r="E29" t="str">
        <f>INDEX(Lotes!$F$2:$F$21,INT((ROW()-2)/5)+1)</f>
        <v>Nocturno</v>
      </c>
      <c r="F29">
        <f t="shared" si="1"/>
        <v>3</v>
      </c>
      <c r="G29">
        <v>194.76</v>
      </c>
      <c r="H29">
        <f>AVERAGE(INDEX($G$2:$G$101,INT((ROW()-2)/5)*5+1):INDEX($G$2:$G$101,INT((ROW()-2)/5)*5+5))</f>
        <v>194.07800000000003</v>
      </c>
      <c r="I29">
        <f>MAX(INDEX($G$2:$G$101,INT((ROW()-2)/5)*5+1):INDEX($G$2:$G$101,INT((ROW()-2)/5)*5+5))-MIN(INDEX($G$2:$G$101,INT((ROW()-2)/5)*5+1):INDEX($G$2:$G$101,INT((ROW()-2)/5)*5+5))</f>
        <v>5.5200000000000102</v>
      </c>
      <c r="J29">
        <f t="shared" si="2"/>
        <v>198.011976</v>
      </c>
      <c r="K29">
        <f t="shared" si="3"/>
        <v>192.140424</v>
      </c>
      <c r="L29">
        <f t="shared" si="9"/>
        <v>195.0762</v>
      </c>
      <c r="M29">
        <f t="shared" si="4"/>
        <v>5.0880000000000045</v>
      </c>
      <c r="N29">
        <f t="shared" si="5"/>
        <v>10.756032000000008</v>
      </c>
      <c r="O29">
        <f t="shared" si="6"/>
        <v>0</v>
      </c>
      <c r="P29" t="str">
        <f t="shared" si="7"/>
        <v>✅ DENTRO</v>
      </c>
      <c r="Q29" t="str">
        <f t="shared" si="8"/>
        <v>✅ DENTRO</v>
      </c>
    </row>
    <row r="30" spans="1:17" x14ac:dyDescent="0.3">
      <c r="A30" t="str">
        <f t="shared" si="0"/>
        <v>SUB-006</v>
      </c>
      <c r="B30" t="str">
        <f>INDEX(Lotes!$A$2:$A$21,INT((ROW()-2)/5)+1)</f>
        <v>RETEX-2024-006</v>
      </c>
      <c r="C30" s="2">
        <f>INDEX(Lotes!$B$2:$B$21,INT((ROW()-2)/5)+1)</f>
        <v>46130</v>
      </c>
      <c r="D30">
        <f>INDEX(Lotes!$C$2:$C$21,INT((ROW()-2)/5)+1)</f>
        <v>16</v>
      </c>
      <c r="E30" t="str">
        <f>INDEX(Lotes!$F$2:$F$21,INT((ROW()-2)/5)+1)</f>
        <v>Nocturno</v>
      </c>
      <c r="F30">
        <f t="shared" si="1"/>
        <v>4</v>
      </c>
      <c r="G30">
        <v>195.84</v>
      </c>
      <c r="H30">
        <f>AVERAGE(INDEX($G$2:$G$101,INT((ROW()-2)/5)*5+1):INDEX($G$2:$G$101,INT((ROW()-2)/5)*5+5))</f>
        <v>194.07800000000003</v>
      </c>
      <c r="I30">
        <f>MAX(INDEX($G$2:$G$101,INT((ROW()-2)/5)*5+1):INDEX($G$2:$G$101,INT((ROW()-2)/5)*5+5))-MIN(INDEX($G$2:$G$101,INT((ROW()-2)/5)*5+1):INDEX($G$2:$G$101,INT((ROW()-2)/5)*5+5))</f>
        <v>5.5200000000000102</v>
      </c>
      <c r="J30">
        <f t="shared" si="2"/>
        <v>198.011976</v>
      </c>
      <c r="K30">
        <f t="shared" si="3"/>
        <v>192.140424</v>
      </c>
      <c r="L30">
        <f t="shared" si="9"/>
        <v>195.0762</v>
      </c>
      <c r="M30">
        <f t="shared" si="4"/>
        <v>5.0880000000000045</v>
      </c>
      <c r="N30">
        <f t="shared" si="5"/>
        <v>10.756032000000008</v>
      </c>
      <c r="O30">
        <f t="shared" si="6"/>
        <v>0</v>
      </c>
      <c r="P30" t="str">
        <f t="shared" si="7"/>
        <v>✅ DENTRO</v>
      </c>
      <c r="Q30" t="str">
        <f t="shared" si="8"/>
        <v>✅ DENTRO</v>
      </c>
    </row>
    <row r="31" spans="1:17" x14ac:dyDescent="0.3">
      <c r="A31" t="str">
        <f t="shared" si="0"/>
        <v>SUB-006</v>
      </c>
      <c r="B31" t="str">
        <f>INDEX(Lotes!$A$2:$A$21,INT((ROW()-2)/5)+1)</f>
        <v>RETEX-2024-006</v>
      </c>
      <c r="C31" s="2">
        <f>INDEX(Lotes!$B$2:$B$21,INT((ROW()-2)/5)+1)</f>
        <v>46130</v>
      </c>
      <c r="D31">
        <f>INDEX(Lotes!$C$2:$C$21,INT((ROW()-2)/5)+1)</f>
        <v>16</v>
      </c>
      <c r="E31" t="str">
        <f>INDEX(Lotes!$F$2:$F$21,INT((ROW()-2)/5)+1)</f>
        <v>Nocturno</v>
      </c>
      <c r="F31">
        <f t="shared" si="1"/>
        <v>5</v>
      </c>
      <c r="G31">
        <v>190.97</v>
      </c>
      <c r="H31">
        <f>AVERAGE(INDEX($G$2:$G$101,INT((ROW()-2)/5)*5+1):INDEX($G$2:$G$101,INT((ROW()-2)/5)*5+5))</f>
        <v>194.07800000000003</v>
      </c>
      <c r="I31">
        <f>MAX(INDEX($G$2:$G$101,INT((ROW()-2)/5)*5+1):INDEX($G$2:$G$101,INT((ROW()-2)/5)*5+5))-MIN(INDEX($G$2:$G$101,INT((ROW()-2)/5)*5+1):INDEX($G$2:$G$101,INT((ROW()-2)/5)*5+5))</f>
        <v>5.5200000000000102</v>
      </c>
      <c r="J31">
        <f t="shared" si="2"/>
        <v>198.011976</v>
      </c>
      <c r="K31">
        <f t="shared" si="3"/>
        <v>192.140424</v>
      </c>
      <c r="L31">
        <f t="shared" si="9"/>
        <v>195.0762</v>
      </c>
      <c r="M31">
        <f t="shared" si="4"/>
        <v>5.0880000000000045</v>
      </c>
      <c r="N31">
        <f t="shared" si="5"/>
        <v>10.756032000000008</v>
      </c>
      <c r="O31">
        <f t="shared" si="6"/>
        <v>0</v>
      </c>
      <c r="P31" t="str">
        <f t="shared" si="7"/>
        <v>✅ DENTRO</v>
      </c>
      <c r="Q31" t="str">
        <f t="shared" si="8"/>
        <v>✅ DENTRO</v>
      </c>
    </row>
    <row r="32" spans="1:17" x14ac:dyDescent="0.3">
      <c r="A32" t="str">
        <f t="shared" si="0"/>
        <v>SUB-007</v>
      </c>
      <c r="B32" t="str">
        <f>INDEX(Lotes!$A$2:$A$21,INT((ROW()-2)/5)+1)</f>
        <v>RETEX-2024-007</v>
      </c>
      <c r="C32" s="2">
        <f>INDEX(Lotes!$B$2:$B$21,INT((ROW()-2)/5)+1)</f>
        <v>46137</v>
      </c>
      <c r="D32">
        <f>INDEX(Lotes!$C$2:$C$21,INT((ROW()-2)/5)+1)</f>
        <v>17</v>
      </c>
      <c r="E32" t="str">
        <f>INDEX(Lotes!$F$2:$F$21,INT((ROW()-2)/5)+1)</f>
        <v>Matutino</v>
      </c>
      <c r="F32">
        <f t="shared" si="1"/>
        <v>1</v>
      </c>
      <c r="G32">
        <v>193.22</v>
      </c>
      <c r="H32">
        <f>AVERAGE(INDEX($G$2:$G$101,INT((ROW()-2)/5)*5+1):INDEX($G$2:$G$101,INT((ROW()-2)/5)*5+5))</f>
        <v>194.86600000000001</v>
      </c>
      <c r="I32">
        <f>MAX(INDEX($G$2:$G$101,INT((ROW()-2)/5)*5+1):INDEX($G$2:$G$101,INT((ROW()-2)/5)*5+5))-MIN(INDEX($G$2:$G$101,INT((ROW()-2)/5)*5+1):INDEX($G$2:$G$101,INT((ROW()-2)/5)*5+5))</f>
        <v>3.3400000000000034</v>
      </c>
      <c r="J32">
        <f t="shared" si="2"/>
        <v>198.011976</v>
      </c>
      <c r="K32">
        <f t="shared" si="3"/>
        <v>192.140424</v>
      </c>
      <c r="L32">
        <f t="shared" si="9"/>
        <v>195.0762</v>
      </c>
      <c r="M32">
        <f t="shared" si="4"/>
        <v>5.0880000000000045</v>
      </c>
      <c r="N32">
        <f t="shared" si="5"/>
        <v>10.756032000000008</v>
      </c>
      <c r="O32">
        <f t="shared" si="6"/>
        <v>0</v>
      </c>
      <c r="P32" t="str">
        <f t="shared" si="7"/>
        <v>✅ DENTRO</v>
      </c>
      <c r="Q32" t="str">
        <f t="shared" si="8"/>
        <v>✅ DENTRO</v>
      </c>
    </row>
    <row r="33" spans="1:17" x14ac:dyDescent="0.3">
      <c r="A33" t="str">
        <f t="shared" si="0"/>
        <v>SUB-007</v>
      </c>
      <c r="B33" t="str">
        <f>INDEX(Lotes!$A$2:$A$21,INT((ROW()-2)/5)+1)</f>
        <v>RETEX-2024-007</v>
      </c>
      <c r="C33" s="2">
        <f>INDEX(Lotes!$B$2:$B$21,INT((ROW()-2)/5)+1)</f>
        <v>46137</v>
      </c>
      <c r="D33">
        <f>INDEX(Lotes!$C$2:$C$21,INT((ROW()-2)/5)+1)</f>
        <v>17</v>
      </c>
      <c r="E33" t="str">
        <f>INDEX(Lotes!$F$2:$F$21,INT((ROW()-2)/5)+1)</f>
        <v>Matutino</v>
      </c>
      <c r="F33">
        <f t="shared" si="1"/>
        <v>2</v>
      </c>
      <c r="G33">
        <v>196.56</v>
      </c>
      <c r="H33">
        <f>AVERAGE(INDEX($G$2:$G$101,INT((ROW()-2)/5)*5+1):INDEX($G$2:$G$101,INT((ROW()-2)/5)*5+5))</f>
        <v>194.86600000000001</v>
      </c>
      <c r="I33">
        <f>MAX(INDEX($G$2:$G$101,INT((ROW()-2)/5)*5+1):INDEX($G$2:$G$101,INT((ROW()-2)/5)*5+5))-MIN(INDEX($G$2:$G$101,INT((ROW()-2)/5)*5+1):INDEX($G$2:$G$101,INT((ROW()-2)/5)*5+5))</f>
        <v>3.3400000000000034</v>
      </c>
      <c r="J33">
        <f t="shared" si="2"/>
        <v>198.011976</v>
      </c>
      <c r="K33">
        <f t="shared" si="3"/>
        <v>192.140424</v>
      </c>
      <c r="L33">
        <f t="shared" si="9"/>
        <v>195.0762</v>
      </c>
      <c r="M33">
        <f t="shared" si="4"/>
        <v>5.0880000000000045</v>
      </c>
      <c r="N33">
        <f t="shared" si="5"/>
        <v>10.756032000000008</v>
      </c>
      <c r="O33">
        <f t="shared" si="6"/>
        <v>0</v>
      </c>
      <c r="P33" t="str">
        <f t="shared" si="7"/>
        <v>✅ DENTRO</v>
      </c>
      <c r="Q33" t="str">
        <f t="shared" si="8"/>
        <v>✅ DENTRO</v>
      </c>
    </row>
    <row r="34" spans="1:17" x14ac:dyDescent="0.3">
      <c r="A34" t="str">
        <f t="shared" si="0"/>
        <v>SUB-007</v>
      </c>
      <c r="B34" t="str">
        <f>INDEX(Lotes!$A$2:$A$21,INT((ROW()-2)/5)+1)</f>
        <v>RETEX-2024-007</v>
      </c>
      <c r="C34" s="2">
        <f>INDEX(Lotes!$B$2:$B$21,INT((ROW()-2)/5)+1)</f>
        <v>46137</v>
      </c>
      <c r="D34">
        <f>INDEX(Lotes!$C$2:$C$21,INT((ROW()-2)/5)+1)</f>
        <v>17</v>
      </c>
      <c r="E34" t="str">
        <f>INDEX(Lotes!$F$2:$F$21,INT((ROW()-2)/5)+1)</f>
        <v>Matutino</v>
      </c>
      <c r="F34">
        <f t="shared" si="1"/>
        <v>3</v>
      </c>
      <c r="G34">
        <v>194.34</v>
      </c>
      <c r="H34">
        <f>AVERAGE(INDEX($G$2:$G$101,INT((ROW()-2)/5)*5+1):INDEX($G$2:$G$101,INT((ROW()-2)/5)*5+5))</f>
        <v>194.86600000000001</v>
      </c>
      <c r="I34">
        <f>MAX(INDEX($G$2:$G$101,INT((ROW()-2)/5)*5+1):INDEX($G$2:$G$101,INT((ROW()-2)/5)*5+5))-MIN(INDEX($G$2:$G$101,INT((ROW()-2)/5)*5+1):INDEX($G$2:$G$101,INT((ROW()-2)/5)*5+5))</f>
        <v>3.3400000000000034</v>
      </c>
      <c r="J34">
        <f t="shared" si="2"/>
        <v>198.011976</v>
      </c>
      <c r="K34">
        <f t="shared" si="3"/>
        <v>192.140424</v>
      </c>
      <c r="L34">
        <f t="shared" si="9"/>
        <v>195.0762</v>
      </c>
      <c r="M34">
        <f t="shared" si="4"/>
        <v>5.0880000000000045</v>
      </c>
      <c r="N34">
        <f t="shared" si="5"/>
        <v>10.756032000000008</v>
      </c>
      <c r="O34">
        <f t="shared" si="6"/>
        <v>0</v>
      </c>
      <c r="P34" t="str">
        <f t="shared" si="7"/>
        <v>✅ DENTRO</v>
      </c>
      <c r="Q34" t="str">
        <f t="shared" si="8"/>
        <v>✅ DENTRO</v>
      </c>
    </row>
    <row r="35" spans="1:17" x14ac:dyDescent="0.3">
      <c r="A35" t="str">
        <f t="shared" si="0"/>
        <v>SUB-007</v>
      </c>
      <c r="B35" t="str">
        <f>INDEX(Lotes!$A$2:$A$21,INT((ROW()-2)/5)+1)</f>
        <v>RETEX-2024-007</v>
      </c>
      <c r="C35" s="2">
        <f>INDEX(Lotes!$B$2:$B$21,INT((ROW()-2)/5)+1)</f>
        <v>46137</v>
      </c>
      <c r="D35">
        <f>INDEX(Lotes!$C$2:$C$21,INT((ROW()-2)/5)+1)</f>
        <v>17</v>
      </c>
      <c r="E35" t="str">
        <f>INDEX(Lotes!$F$2:$F$21,INT((ROW()-2)/5)+1)</f>
        <v>Matutino</v>
      </c>
      <c r="F35">
        <f t="shared" si="1"/>
        <v>4</v>
      </c>
      <c r="G35">
        <v>195.21</v>
      </c>
      <c r="H35">
        <f>AVERAGE(INDEX($G$2:$G$101,INT((ROW()-2)/5)*5+1):INDEX($G$2:$G$101,INT((ROW()-2)/5)*5+5))</f>
        <v>194.86600000000001</v>
      </c>
      <c r="I35">
        <f>MAX(INDEX($G$2:$G$101,INT((ROW()-2)/5)*5+1):INDEX($G$2:$G$101,INT((ROW()-2)/5)*5+5))-MIN(INDEX($G$2:$G$101,INT((ROW()-2)/5)*5+1):INDEX($G$2:$G$101,INT((ROW()-2)/5)*5+5))</f>
        <v>3.3400000000000034</v>
      </c>
      <c r="J35">
        <f t="shared" si="2"/>
        <v>198.011976</v>
      </c>
      <c r="K35">
        <f t="shared" si="3"/>
        <v>192.140424</v>
      </c>
      <c r="L35">
        <f t="shared" si="9"/>
        <v>195.0762</v>
      </c>
      <c r="M35">
        <f t="shared" si="4"/>
        <v>5.0880000000000045</v>
      </c>
      <c r="N35">
        <f t="shared" si="5"/>
        <v>10.756032000000008</v>
      </c>
      <c r="O35">
        <f t="shared" si="6"/>
        <v>0</v>
      </c>
      <c r="P35" t="str">
        <f t="shared" si="7"/>
        <v>✅ DENTRO</v>
      </c>
      <c r="Q35" t="str">
        <f t="shared" si="8"/>
        <v>✅ DENTRO</v>
      </c>
    </row>
    <row r="36" spans="1:17" x14ac:dyDescent="0.3">
      <c r="A36" t="str">
        <f t="shared" si="0"/>
        <v>SUB-007</v>
      </c>
      <c r="B36" t="str">
        <f>INDEX(Lotes!$A$2:$A$21,INT((ROW()-2)/5)+1)</f>
        <v>RETEX-2024-007</v>
      </c>
      <c r="C36" s="2">
        <f>INDEX(Lotes!$B$2:$B$21,INT((ROW()-2)/5)+1)</f>
        <v>46137</v>
      </c>
      <c r="D36">
        <f>INDEX(Lotes!$C$2:$C$21,INT((ROW()-2)/5)+1)</f>
        <v>17</v>
      </c>
      <c r="E36" t="str">
        <f>INDEX(Lotes!$F$2:$F$21,INT((ROW()-2)/5)+1)</f>
        <v>Matutino</v>
      </c>
      <c r="F36">
        <f t="shared" si="1"/>
        <v>5</v>
      </c>
      <c r="G36">
        <v>195</v>
      </c>
      <c r="H36">
        <f>AVERAGE(INDEX($G$2:$G$101,INT((ROW()-2)/5)*5+1):INDEX($G$2:$G$101,INT((ROW()-2)/5)*5+5))</f>
        <v>194.86600000000001</v>
      </c>
      <c r="I36">
        <f>MAX(INDEX($G$2:$G$101,INT((ROW()-2)/5)*5+1):INDEX($G$2:$G$101,INT((ROW()-2)/5)*5+5))-MIN(INDEX($G$2:$G$101,INT((ROW()-2)/5)*5+1):INDEX($G$2:$G$101,INT((ROW()-2)/5)*5+5))</f>
        <v>3.3400000000000034</v>
      </c>
      <c r="J36">
        <f t="shared" si="2"/>
        <v>198.011976</v>
      </c>
      <c r="K36">
        <f t="shared" si="3"/>
        <v>192.140424</v>
      </c>
      <c r="L36">
        <f t="shared" si="9"/>
        <v>195.0762</v>
      </c>
      <c r="M36">
        <f t="shared" si="4"/>
        <v>5.0880000000000045</v>
      </c>
      <c r="N36">
        <f t="shared" si="5"/>
        <v>10.756032000000008</v>
      </c>
      <c r="O36">
        <f t="shared" si="6"/>
        <v>0</v>
      </c>
      <c r="P36" t="str">
        <f t="shared" si="7"/>
        <v>✅ DENTRO</v>
      </c>
      <c r="Q36" t="str">
        <f t="shared" si="8"/>
        <v>✅ DENTRO</v>
      </c>
    </row>
    <row r="37" spans="1:17" x14ac:dyDescent="0.3">
      <c r="A37" t="str">
        <f t="shared" si="0"/>
        <v>SUB-008</v>
      </c>
      <c r="B37" t="str">
        <f>INDEX(Lotes!$A$2:$A$21,INT((ROW()-2)/5)+1)</f>
        <v>RETEX-2024-008</v>
      </c>
      <c r="C37" s="2">
        <f>INDEX(Lotes!$B$2:$B$21,INT((ROW()-2)/5)+1)</f>
        <v>46144</v>
      </c>
      <c r="D37">
        <f>INDEX(Lotes!$C$2:$C$21,INT((ROW()-2)/5)+1)</f>
        <v>18</v>
      </c>
      <c r="E37" t="str">
        <f>INDEX(Lotes!$F$2:$F$21,INT((ROW()-2)/5)+1)</f>
        <v>Vespertino</v>
      </c>
      <c r="F37">
        <f t="shared" si="1"/>
        <v>1</v>
      </c>
      <c r="G37">
        <v>194.91</v>
      </c>
      <c r="H37">
        <f>AVERAGE(INDEX($G$2:$G$101,INT((ROW()-2)/5)*5+1):INDEX($G$2:$G$101,INT((ROW()-2)/5)*5+5))</f>
        <v>195.42399999999998</v>
      </c>
      <c r="I37">
        <f>MAX(INDEX($G$2:$G$101,INT((ROW()-2)/5)*5+1):INDEX($G$2:$G$101,INT((ROW()-2)/5)*5+5))-MIN(INDEX($G$2:$G$101,INT((ROW()-2)/5)*5+1):INDEX($G$2:$G$101,INT((ROW()-2)/5)*5+5))</f>
        <v>3.289999999999992</v>
      </c>
      <c r="J37">
        <f t="shared" si="2"/>
        <v>198.011976</v>
      </c>
      <c r="K37">
        <f t="shared" si="3"/>
        <v>192.140424</v>
      </c>
      <c r="L37">
        <f t="shared" si="9"/>
        <v>195.0762</v>
      </c>
      <c r="M37">
        <f t="shared" si="4"/>
        <v>5.0880000000000045</v>
      </c>
      <c r="N37">
        <f t="shared" si="5"/>
        <v>10.756032000000008</v>
      </c>
      <c r="O37">
        <f t="shared" si="6"/>
        <v>0</v>
      </c>
      <c r="P37" t="str">
        <f t="shared" si="7"/>
        <v>✅ DENTRO</v>
      </c>
      <c r="Q37" t="str">
        <f t="shared" si="8"/>
        <v>✅ DENTRO</v>
      </c>
    </row>
    <row r="38" spans="1:17" x14ac:dyDescent="0.3">
      <c r="A38" t="str">
        <f t="shared" si="0"/>
        <v>SUB-008</v>
      </c>
      <c r="B38" t="str">
        <f>INDEX(Lotes!$A$2:$A$21,INT((ROW()-2)/5)+1)</f>
        <v>RETEX-2024-008</v>
      </c>
      <c r="C38" s="2">
        <f>INDEX(Lotes!$B$2:$B$21,INT((ROW()-2)/5)+1)</f>
        <v>46144</v>
      </c>
      <c r="D38">
        <f>INDEX(Lotes!$C$2:$C$21,INT((ROW()-2)/5)+1)</f>
        <v>18</v>
      </c>
      <c r="E38" t="str">
        <f>INDEX(Lotes!$F$2:$F$21,INT((ROW()-2)/5)+1)</f>
        <v>Vespertino</v>
      </c>
      <c r="F38">
        <f t="shared" si="1"/>
        <v>2</v>
      </c>
      <c r="G38">
        <v>197.59</v>
      </c>
      <c r="H38">
        <f>AVERAGE(INDEX($G$2:$G$101,INT((ROW()-2)/5)*5+1):INDEX($G$2:$G$101,INT((ROW()-2)/5)*5+5))</f>
        <v>195.42399999999998</v>
      </c>
      <c r="I38">
        <f>MAX(INDEX($G$2:$G$101,INT((ROW()-2)/5)*5+1):INDEX($G$2:$G$101,INT((ROW()-2)/5)*5+5))-MIN(INDEX($G$2:$G$101,INT((ROW()-2)/5)*5+1):INDEX($G$2:$G$101,INT((ROW()-2)/5)*5+5))</f>
        <v>3.289999999999992</v>
      </c>
      <c r="J38">
        <f t="shared" si="2"/>
        <v>198.011976</v>
      </c>
      <c r="K38">
        <f t="shared" si="3"/>
        <v>192.140424</v>
      </c>
      <c r="L38">
        <f t="shared" si="9"/>
        <v>195.0762</v>
      </c>
      <c r="M38">
        <f t="shared" si="4"/>
        <v>5.0880000000000045</v>
      </c>
      <c r="N38">
        <f t="shared" si="5"/>
        <v>10.756032000000008</v>
      </c>
      <c r="O38">
        <f t="shared" si="6"/>
        <v>0</v>
      </c>
      <c r="P38" t="str">
        <f t="shared" si="7"/>
        <v>✅ DENTRO</v>
      </c>
      <c r="Q38" t="str">
        <f t="shared" si="8"/>
        <v>✅ DENTRO</v>
      </c>
    </row>
    <row r="39" spans="1:17" x14ac:dyDescent="0.3">
      <c r="A39" t="str">
        <f t="shared" si="0"/>
        <v>SUB-008</v>
      </c>
      <c r="B39" t="str">
        <f>INDEX(Lotes!$A$2:$A$21,INT((ROW()-2)/5)+1)</f>
        <v>RETEX-2024-008</v>
      </c>
      <c r="C39" s="2">
        <f>INDEX(Lotes!$B$2:$B$21,INT((ROW()-2)/5)+1)</f>
        <v>46144</v>
      </c>
      <c r="D39">
        <f>INDEX(Lotes!$C$2:$C$21,INT((ROW()-2)/5)+1)</f>
        <v>18</v>
      </c>
      <c r="E39" t="str">
        <f>INDEX(Lotes!$F$2:$F$21,INT((ROW()-2)/5)+1)</f>
        <v>Vespertino</v>
      </c>
      <c r="F39">
        <f t="shared" si="1"/>
        <v>3</v>
      </c>
      <c r="G39">
        <v>194.3</v>
      </c>
      <c r="H39">
        <f>AVERAGE(INDEX($G$2:$G$101,INT((ROW()-2)/5)*5+1):INDEX($G$2:$G$101,INT((ROW()-2)/5)*5+5))</f>
        <v>195.42399999999998</v>
      </c>
      <c r="I39">
        <f>MAX(INDEX($G$2:$G$101,INT((ROW()-2)/5)*5+1):INDEX($G$2:$G$101,INT((ROW()-2)/5)*5+5))-MIN(INDEX($G$2:$G$101,INT((ROW()-2)/5)*5+1):INDEX($G$2:$G$101,INT((ROW()-2)/5)*5+5))</f>
        <v>3.289999999999992</v>
      </c>
      <c r="J39">
        <f t="shared" si="2"/>
        <v>198.011976</v>
      </c>
      <c r="K39">
        <f t="shared" si="3"/>
        <v>192.140424</v>
      </c>
      <c r="L39">
        <f t="shared" si="9"/>
        <v>195.0762</v>
      </c>
      <c r="M39">
        <f t="shared" si="4"/>
        <v>5.0880000000000045</v>
      </c>
      <c r="N39">
        <f t="shared" si="5"/>
        <v>10.756032000000008</v>
      </c>
      <c r="O39">
        <f t="shared" si="6"/>
        <v>0</v>
      </c>
      <c r="P39" t="str">
        <f t="shared" si="7"/>
        <v>✅ DENTRO</v>
      </c>
      <c r="Q39" t="str">
        <f t="shared" si="8"/>
        <v>✅ DENTRO</v>
      </c>
    </row>
    <row r="40" spans="1:17" x14ac:dyDescent="0.3">
      <c r="A40" t="str">
        <f t="shared" si="0"/>
        <v>SUB-008</v>
      </c>
      <c r="B40" t="str">
        <f>INDEX(Lotes!$A$2:$A$21,INT((ROW()-2)/5)+1)</f>
        <v>RETEX-2024-008</v>
      </c>
      <c r="C40" s="2">
        <f>INDEX(Lotes!$B$2:$B$21,INT((ROW()-2)/5)+1)</f>
        <v>46144</v>
      </c>
      <c r="D40">
        <f>INDEX(Lotes!$C$2:$C$21,INT((ROW()-2)/5)+1)</f>
        <v>18</v>
      </c>
      <c r="E40" t="str">
        <f>INDEX(Lotes!$F$2:$F$21,INT((ROW()-2)/5)+1)</f>
        <v>Vespertino</v>
      </c>
      <c r="F40">
        <f t="shared" si="1"/>
        <v>4</v>
      </c>
      <c r="G40">
        <v>194.55</v>
      </c>
      <c r="H40">
        <f>AVERAGE(INDEX($G$2:$G$101,INT((ROW()-2)/5)*5+1):INDEX($G$2:$G$101,INT((ROW()-2)/5)*5+5))</f>
        <v>195.42399999999998</v>
      </c>
      <c r="I40">
        <f>MAX(INDEX($G$2:$G$101,INT((ROW()-2)/5)*5+1):INDEX($G$2:$G$101,INT((ROW()-2)/5)*5+5))-MIN(INDEX($G$2:$G$101,INT((ROW()-2)/5)*5+1):INDEX($G$2:$G$101,INT((ROW()-2)/5)*5+5))</f>
        <v>3.289999999999992</v>
      </c>
      <c r="J40">
        <f t="shared" si="2"/>
        <v>198.011976</v>
      </c>
      <c r="K40">
        <f t="shared" si="3"/>
        <v>192.140424</v>
      </c>
      <c r="L40">
        <f t="shared" si="9"/>
        <v>195.0762</v>
      </c>
      <c r="M40">
        <f t="shared" si="4"/>
        <v>5.0880000000000045</v>
      </c>
      <c r="N40">
        <f t="shared" si="5"/>
        <v>10.756032000000008</v>
      </c>
      <c r="O40">
        <f t="shared" si="6"/>
        <v>0</v>
      </c>
      <c r="P40" t="str">
        <f t="shared" si="7"/>
        <v>✅ DENTRO</v>
      </c>
      <c r="Q40" t="str">
        <f t="shared" si="8"/>
        <v>✅ DENTRO</v>
      </c>
    </row>
    <row r="41" spans="1:17" x14ac:dyDescent="0.3">
      <c r="A41" t="str">
        <f t="shared" si="0"/>
        <v>SUB-008</v>
      </c>
      <c r="B41" t="str">
        <f>INDEX(Lotes!$A$2:$A$21,INT((ROW()-2)/5)+1)</f>
        <v>RETEX-2024-008</v>
      </c>
      <c r="C41" s="2">
        <f>INDEX(Lotes!$B$2:$B$21,INT((ROW()-2)/5)+1)</f>
        <v>46144</v>
      </c>
      <c r="D41">
        <f>INDEX(Lotes!$C$2:$C$21,INT((ROW()-2)/5)+1)</f>
        <v>18</v>
      </c>
      <c r="E41" t="str">
        <f>INDEX(Lotes!$F$2:$F$21,INT((ROW()-2)/5)+1)</f>
        <v>Vespertino</v>
      </c>
      <c r="F41">
        <f t="shared" si="1"/>
        <v>5</v>
      </c>
      <c r="G41">
        <v>195.77</v>
      </c>
      <c r="H41">
        <f>AVERAGE(INDEX($G$2:$G$101,INT((ROW()-2)/5)*5+1):INDEX($G$2:$G$101,INT((ROW()-2)/5)*5+5))</f>
        <v>195.42399999999998</v>
      </c>
      <c r="I41">
        <f>MAX(INDEX($G$2:$G$101,INT((ROW()-2)/5)*5+1):INDEX($G$2:$G$101,INT((ROW()-2)/5)*5+5))-MIN(INDEX($G$2:$G$101,INT((ROW()-2)/5)*5+1):INDEX($G$2:$G$101,INT((ROW()-2)/5)*5+5))</f>
        <v>3.289999999999992</v>
      </c>
      <c r="J41">
        <f t="shared" si="2"/>
        <v>198.011976</v>
      </c>
      <c r="K41">
        <f t="shared" si="3"/>
        <v>192.140424</v>
      </c>
      <c r="L41">
        <f t="shared" si="9"/>
        <v>195.0762</v>
      </c>
      <c r="M41">
        <f t="shared" si="4"/>
        <v>5.0880000000000045</v>
      </c>
      <c r="N41">
        <f t="shared" si="5"/>
        <v>10.756032000000008</v>
      </c>
      <c r="O41">
        <f t="shared" si="6"/>
        <v>0</v>
      </c>
      <c r="P41" t="str">
        <f t="shared" si="7"/>
        <v>✅ DENTRO</v>
      </c>
      <c r="Q41" t="str">
        <f t="shared" si="8"/>
        <v>✅ DENTRO</v>
      </c>
    </row>
    <row r="42" spans="1:17" x14ac:dyDescent="0.3">
      <c r="A42" t="str">
        <f t="shared" si="0"/>
        <v>SUB-009</v>
      </c>
      <c r="B42" t="str">
        <f>INDEX(Lotes!$A$2:$A$21,INT((ROW()-2)/5)+1)</f>
        <v>RETEX-2024-009</v>
      </c>
      <c r="C42" s="2">
        <f>INDEX(Lotes!$B$2:$B$21,INT((ROW()-2)/5)+1)</f>
        <v>46151</v>
      </c>
      <c r="D42">
        <f>INDEX(Lotes!$C$2:$C$21,INT((ROW()-2)/5)+1)</f>
        <v>19</v>
      </c>
      <c r="E42" t="str">
        <f>INDEX(Lotes!$F$2:$F$21,INT((ROW()-2)/5)+1)</f>
        <v>Nocturno</v>
      </c>
      <c r="F42">
        <f t="shared" si="1"/>
        <v>1</v>
      </c>
      <c r="G42">
        <v>193.99</v>
      </c>
      <c r="H42">
        <f>AVERAGE(INDEX($G$2:$G$101,INT((ROW()-2)/5)*5+1):INDEX($G$2:$G$101,INT((ROW()-2)/5)*5+5))</f>
        <v>194.74</v>
      </c>
      <c r="I42">
        <f>MAX(INDEX($G$2:$G$101,INT((ROW()-2)/5)*5+1):INDEX($G$2:$G$101,INT((ROW()-2)/5)*5+5))-MIN(INDEX($G$2:$G$101,INT((ROW()-2)/5)*5+1):INDEX($G$2:$G$101,INT((ROW()-2)/5)*5+5))</f>
        <v>7.0099999999999909</v>
      </c>
      <c r="J42">
        <f t="shared" si="2"/>
        <v>198.011976</v>
      </c>
      <c r="K42">
        <f t="shared" si="3"/>
        <v>192.140424</v>
      </c>
      <c r="L42">
        <f t="shared" si="9"/>
        <v>195.0762</v>
      </c>
      <c r="M42">
        <f t="shared" si="4"/>
        <v>5.0880000000000045</v>
      </c>
      <c r="N42">
        <f t="shared" si="5"/>
        <v>10.756032000000008</v>
      </c>
      <c r="O42">
        <f t="shared" si="6"/>
        <v>0</v>
      </c>
      <c r="P42" t="str">
        <f t="shared" si="7"/>
        <v>✅ DENTRO</v>
      </c>
      <c r="Q42" t="str">
        <f t="shared" si="8"/>
        <v>✅ DENTRO</v>
      </c>
    </row>
    <row r="43" spans="1:17" x14ac:dyDescent="0.3">
      <c r="A43" t="str">
        <f t="shared" si="0"/>
        <v>SUB-009</v>
      </c>
      <c r="B43" t="str">
        <f>INDEX(Lotes!$A$2:$A$21,INT((ROW()-2)/5)+1)</f>
        <v>RETEX-2024-009</v>
      </c>
      <c r="C43" s="2">
        <f>INDEX(Lotes!$B$2:$B$21,INT((ROW()-2)/5)+1)</f>
        <v>46151</v>
      </c>
      <c r="D43">
        <f>INDEX(Lotes!$C$2:$C$21,INT((ROW()-2)/5)+1)</f>
        <v>19</v>
      </c>
      <c r="E43" t="str">
        <f>INDEX(Lotes!$F$2:$F$21,INT((ROW()-2)/5)+1)</f>
        <v>Nocturno</v>
      </c>
      <c r="F43">
        <f t="shared" si="1"/>
        <v>2</v>
      </c>
      <c r="G43">
        <v>195.06</v>
      </c>
      <c r="H43">
        <f>AVERAGE(INDEX($G$2:$G$101,INT((ROW()-2)/5)*5+1):INDEX($G$2:$G$101,INT((ROW()-2)/5)*5+5))</f>
        <v>194.74</v>
      </c>
      <c r="I43">
        <f>MAX(INDEX($G$2:$G$101,INT((ROW()-2)/5)*5+1):INDEX($G$2:$G$101,INT((ROW()-2)/5)*5+5))-MIN(INDEX($G$2:$G$101,INT((ROW()-2)/5)*5+1):INDEX($G$2:$G$101,INT((ROW()-2)/5)*5+5))</f>
        <v>7.0099999999999909</v>
      </c>
      <c r="J43">
        <f t="shared" si="2"/>
        <v>198.011976</v>
      </c>
      <c r="K43">
        <f t="shared" si="3"/>
        <v>192.140424</v>
      </c>
      <c r="L43">
        <f t="shared" si="9"/>
        <v>195.0762</v>
      </c>
      <c r="M43">
        <f t="shared" si="4"/>
        <v>5.0880000000000045</v>
      </c>
      <c r="N43">
        <f t="shared" si="5"/>
        <v>10.756032000000008</v>
      </c>
      <c r="O43">
        <f t="shared" si="6"/>
        <v>0</v>
      </c>
      <c r="P43" t="str">
        <f t="shared" si="7"/>
        <v>✅ DENTRO</v>
      </c>
      <c r="Q43" t="str">
        <f t="shared" si="8"/>
        <v>✅ DENTRO</v>
      </c>
    </row>
    <row r="44" spans="1:17" x14ac:dyDescent="0.3">
      <c r="A44" t="str">
        <f t="shared" si="0"/>
        <v>SUB-009</v>
      </c>
      <c r="B44" t="str">
        <f>INDEX(Lotes!$A$2:$A$21,INT((ROW()-2)/5)+1)</f>
        <v>RETEX-2024-009</v>
      </c>
      <c r="C44" s="2">
        <f>INDEX(Lotes!$B$2:$B$21,INT((ROW()-2)/5)+1)</f>
        <v>46151</v>
      </c>
      <c r="D44">
        <f>INDEX(Lotes!$C$2:$C$21,INT((ROW()-2)/5)+1)</f>
        <v>19</v>
      </c>
      <c r="E44" t="str">
        <f>INDEX(Lotes!$F$2:$F$21,INT((ROW()-2)/5)+1)</f>
        <v>Nocturno</v>
      </c>
      <c r="F44">
        <f t="shared" si="1"/>
        <v>3</v>
      </c>
      <c r="G44">
        <v>191.8</v>
      </c>
      <c r="H44">
        <f>AVERAGE(INDEX($G$2:$G$101,INT((ROW()-2)/5)*5+1):INDEX($G$2:$G$101,INT((ROW()-2)/5)*5+5))</f>
        <v>194.74</v>
      </c>
      <c r="I44">
        <f>MAX(INDEX($G$2:$G$101,INT((ROW()-2)/5)*5+1):INDEX($G$2:$G$101,INT((ROW()-2)/5)*5+5))-MIN(INDEX($G$2:$G$101,INT((ROW()-2)/5)*5+1):INDEX($G$2:$G$101,INT((ROW()-2)/5)*5+5))</f>
        <v>7.0099999999999909</v>
      </c>
      <c r="J44">
        <f t="shared" si="2"/>
        <v>198.011976</v>
      </c>
      <c r="K44">
        <f t="shared" si="3"/>
        <v>192.140424</v>
      </c>
      <c r="L44">
        <f t="shared" si="9"/>
        <v>195.0762</v>
      </c>
      <c r="M44">
        <f t="shared" si="4"/>
        <v>5.0880000000000045</v>
      </c>
      <c r="N44">
        <f t="shared" si="5"/>
        <v>10.756032000000008</v>
      </c>
      <c r="O44">
        <f t="shared" si="6"/>
        <v>0</v>
      </c>
      <c r="P44" t="str">
        <f t="shared" si="7"/>
        <v>✅ DENTRO</v>
      </c>
      <c r="Q44" t="str">
        <f t="shared" si="8"/>
        <v>✅ DENTRO</v>
      </c>
    </row>
    <row r="45" spans="1:17" x14ac:dyDescent="0.3">
      <c r="A45" t="str">
        <f t="shared" si="0"/>
        <v>SUB-009</v>
      </c>
      <c r="B45" t="str">
        <f>INDEX(Lotes!$A$2:$A$21,INT((ROW()-2)/5)+1)</f>
        <v>RETEX-2024-009</v>
      </c>
      <c r="C45" s="2">
        <f>INDEX(Lotes!$B$2:$B$21,INT((ROW()-2)/5)+1)</f>
        <v>46151</v>
      </c>
      <c r="D45">
        <f>INDEX(Lotes!$C$2:$C$21,INT((ROW()-2)/5)+1)</f>
        <v>19</v>
      </c>
      <c r="E45" t="str">
        <f>INDEX(Lotes!$F$2:$F$21,INT((ROW()-2)/5)+1)</f>
        <v>Nocturno</v>
      </c>
      <c r="F45">
        <f t="shared" si="1"/>
        <v>4</v>
      </c>
      <c r="G45">
        <v>198.81</v>
      </c>
      <c r="H45">
        <f>AVERAGE(INDEX($G$2:$G$101,INT((ROW()-2)/5)*5+1):INDEX($G$2:$G$101,INT((ROW()-2)/5)*5+5))</f>
        <v>194.74</v>
      </c>
      <c r="I45">
        <f>MAX(INDEX($G$2:$G$101,INT((ROW()-2)/5)*5+1):INDEX($G$2:$G$101,INT((ROW()-2)/5)*5+5))-MIN(INDEX($G$2:$G$101,INT((ROW()-2)/5)*5+1):INDEX($G$2:$G$101,INT((ROW()-2)/5)*5+5))</f>
        <v>7.0099999999999909</v>
      </c>
      <c r="J45">
        <f t="shared" si="2"/>
        <v>198.011976</v>
      </c>
      <c r="K45">
        <f t="shared" si="3"/>
        <v>192.140424</v>
      </c>
      <c r="L45">
        <f t="shared" si="9"/>
        <v>195.0762</v>
      </c>
      <c r="M45">
        <f t="shared" si="4"/>
        <v>5.0880000000000045</v>
      </c>
      <c r="N45">
        <f t="shared" si="5"/>
        <v>10.756032000000008</v>
      </c>
      <c r="O45">
        <f t="shared" si="6"/>
        <v>0</v>
      </c>
      <c r="P45" t="str">
        <f t="shared" si="7"/>
        <v>✅ DENTRO</v>
      </c>
      <c r="Q45" t="str">
        <f t="shared" si="8"/>
        <v>✅ DENTRO</v>
      </c>
    </row>
    <row r="46" spans="1:17" x14ac:dyDescent="0.3">
      <c r="A46" t="str">
        <f t="shared" si="0"/>
        <v>SUB-009</v>
      </c>
      <c r="B46" t="str">
        <f>INDEX(Lotes!$A$2:$A$21,INT((ROW()-2)/5)+1)</f>
        <v>RETEX-2024-009</v>
      </c>
      <c r="C46" s="2">
        <f>INDEX(Lotes!$B$2:$B$21,INT((ROW()-2)/5)+1)</f>
        <v>46151</v>
      </c>
      <c r="D46">
        <f>INDEX(Lotes!$C$2:$C$21,INT((ROW()-2)/5)+1)</f>
        <v>19</v>
      </c>
      <c r="E46" t="str">
        <f>INDEX(Lotes!$F$2:$F$21,INT((ROW()-2)/5)+1)</f>
        <v>Nocturno</v>
      </c>
      <c r="F46">
        <f t="shared" si="1"/>
        <v>5</v>
      </c>
      <c r="G46">
        <v>194.04</v>
      </c>
      <c r="H46">
        <f>AVERAGE(INDEX($G$2:$G$101,INT((ROW()-2)/5)*5+1):INDEX($G$2:$G$101,INT((ROW()-2)/5)*5+5))</f>
        <v>194.74</v>
      </c>
      <c r="I46">
        <f>MAX(INDEX($G$2:$G$101,INT((ROW()-2)/5)*5+1):INDEX($G$2:$G$101,INT((ROW()-2)/5)*5+5))-MIN(INDEX($G$2:$G$101,INT((ROW()-2)/5)*5+1):INDEX($G$2:$G$101,INT((ROW()-2)/5)*5+5))</f>
        <v>7.0099999999999909</v>
      </c>
      <c r="J46">
        <f t="shared" si="2"/>
        <v>198.011976</v>
      </c>
      <c r="K46">
        <f t="shared" si="3"/>
        <v>192.140424</v>
      </c>
      <c r="L46">
        <f t="shared" si="9"/>
        <v>195.0762</v>
      </c>
      <c r="M46">
        <f t="shared" si="4"/>
        <v>5.0880000000000045</v>
      </c>
      <c r="N46">
        <f t="shared" si="5"/>
        <v>10.756032000000008</v>
      </c>
      <c r="O46">
        <f t="shared" si="6"/>
        <v>0</v>
      </c>
      <c r="P46" t="str">
        <f t="shared" si="7"/>
        <v>✅ DENTRO</v>
      </c>
      <c r="Q46" t="str">
        <f t="shared" si="8"/>
        <v>✅ DENTRO</v>
      </c>
    </row>
    <row r="47" spans="1:17" x14ac:dyDescent="0.3">
      <c r="A47" t="str">
        <f t="shared" si="0"/>
        <v>SUB-010</v>
      </c>
      <c r="B47" t="str">
        <f>INDEX(Lotes!$A$2:$A$21,INT((ROW()-2)/5)+1)</f>
        <v>RETEX-2024-010</v>
      </c>
      <c r="C47" s="2">
        <f>INDEX(Lotes!$B$2:$B$21,INT((ROW()-2)/5)+1)</f>
        <v>46158</v>
      </c>
      <c r="D47">
        <f>INDEX(Lotes!$C$2:$C$21,INT((ROW()-2)/5)+1)</f>
        <v>20</v>
      </c>
      <c r="E47" t="str">
        <f>INDEX(Lotes!$F$2:$F$21,INT((ROW()-2)/5)+1)</f>
        <v>Matutino</v>
      </c>
      <c r="F47">
        <f t="shared" si="1"/>
        <v>1</v>
      </c>
      <c r="G47">
        <v>196.77</v>
      </c>
      <c r="H47">
        <f>AVERAGE(INDEX($G$2:$G$101,INT((ROW()-2)/5)*5+1):INDEX($G$2:$G$101,INT((ROW()-2)/5)*5+5))</f>
        <v>195.01799999999997</v>
      </c>
      <c r="I47">
        <f>MAX(INDEX($G$2:$G$101,INT((ROW()-2)/5)*5+1):INDEX($G$2:$G$101,INT((ROW()-2)/5)*5+5))-MIN(INDEX($G$2:$G$101,INT((ROW()-2)/5)*5+1):INDEX($G$2:$G$101,INT((ROW()-2)/5)*5+5))</f>
        <v>4.8700000000000045</v>
      </c>
      <c r="J47">
        <f t="shared" si="2"/>
        <v>198.011976</v>
      </c>
      <c r="K47">
        <f t="shared" si="3"/>
        <v>192.140424</v>
      </c>
      <c r="L47">
        <f t="shared" si="9"/>
        <v>195.0762</v>
      </c>
      <c r="M47">
        <f t="shared" si="4"/>
        <v>5.0880000000000045</v>
      </c>
      <c r="N47">
        <f t="shared" si="5"/>
        <v>10.756032000000008</v>
      </c>
      <c r="O47">
        <f t="shared" si="6"/>
        <v>0</v>
      </c>
      <c r="P47" t="str">
        <f t="shared" si="7"/>
        <v>✅ DENTRO</v>
      </c>
      <c r="Q47" t="str">
        <f t="shared" si="8"/>
        <v>✅ DENTRO</v>
      </c>
    </row>
    <row r="48" spans="1:17" x14ac:dyDescent="0.3">
      <c r="A48" t="str">
        <f t="shared" si="0"/>
        <v>SUB-010</v>
      </c>
      <c r="B48" t="str">
        <f>INDEX(Lotes!$A$2:$A$21,INT((ROW()-2)/5)+1)</f>
        <v>RETEX-2024-010</v>
      </c>
      <c r="C48" s="2">
        <f>INDEX(Lotes!$B$2:$B$21,INT((ROW()-2)/5)+1)</f>
        <v>46158</v>
      </c>
      <c r="D48">
        <f>INDEX(Lotes!$C$2:$C$21,INT((ROW()-2)/5)+1)</f>
        <v>20</v>
      </c>
      <c r="E48" t="str">
        <f>INDEX(Lotes!$F$2:$F$21,INT((ROW()-2)/5)+1)</f>
        <v>Matutino</v>
      </c>
      <c r="F48">
        <f t="shared" si="1"/>
        <v>2</v>
      </c>
      <c r="G48">
        <v>196.03</v>
      </c>
      <c r="H48">
        <f>AVERAGE(INDEX($G$2:$G$101,INT((ROW()-2)/5)*5+1):INDEX($G$2:$G$101,INT((ROW()-2)/5)*5+5))</f>
        <v>195.01799999999997</v>
      </c>
      <c r="I48">
        <f>MAX(INDEX($G$2:$G$101,INT((ROW()-2)/5)*5+1):INDEX($G$2:$G$101,INT((ROW()-2)/5)*5+5))-MIN(INDEX($G$2:$G$101,INT((ROW()-2)/5)*5+1):INDEX($G$2:$G$101,INT((ROW()-2)/5)*5+5))</f>
        <v>4.8700000000000045</v>
      </c>
      <c r="J48">
        <f t="shared" si="2"/>
        <v>198.011976</v>
      </c>
      <c r="K48">
        <f t="shared" si="3"/>
        <v>192.140424</v>
      </c>
      <c r="L48">
        <f t="shared" si="9"/>
        <v>195.0762</v>
      </c>
      <c r="M48">
        <f t="shared" si="4"/>
        <v>5.0880000000000045</v>
      </c>
      <c r="N48">
        <f t="shared" si="5"/>
        <v>10.756032000000008</v>
      </c>
      <c r="O48">
        <f t="shared" si="6"/>
        <v>0</v>
      </c>
      <c r="P48" t="str">
        <f t="shared" si="7"/>
        <v>✅ DENTRO</v>
      </c>
      <c r="Q48" t="str">
        <f t="shared" si="8"/>
        <v>✅ DENTRO</v>
      </c>
    </row>
    <row r="49" spans="1:17" x14ac:dyDescent="0.3">
      <c r="A49" t="str">
        <f t="shared" si="0"/>
        <v>SUB-010</v>
      </c>
      <c r="B49" t="str">
        <f>INDEX(Lotes!$A$2:$A$21,INT((ROW()-2)/5)+1)</f>
        <v>RETEX-2024-010</v>
      </c>
      <c r="C49" s="2">
        <f>INDEX(Lotes!$B$2:$B$21,INT((ROW()-2)/5)+1)</f>
        <v>46158</v>
      </c>
      <c r="D49">
        <f>INDEX(Lotes!$C$2:$C$21,INT((ROW()-2)/5)+1)</f>
        <v>20</v>
      </c>
      <c r="E49" t="str">
        <f>INDEX(Lotes!$F$2:$F$21,INT((ROW()-2)/5)+1)</f>
        <v>Matutino</v>
      </c>
      <c r="F49">
        <f t="shared" si="1"/>
        <v>3</v>
      </c>
      <c r="G49">
        <v>193.95</v>
      </c>
      <c r="H49">
        <f>AVERAGE(INDEX($G$2:$G$101,INT((ROW()-2)/5)*5+1):INDEX($G$2:$G$101,INT((ROW()-2)/5)*5+5))</f>
        <v>195.01799999999997</v>
      </c>
      <c r="I49">
        <f>MAX(INDEX($G$2:$G$101,INT((ROW()-2)/5)*5+1):INDEX($G$2:$G$101,INT((ROW()-2)/5)*5+5))-MIN(INDEX($G$2:$G$101,INT((ROW()-2)/5)*5+1):INDEX($G$2:$G$101,INT((ROW()-2)/5)*5+5))</f>
        <v>4.8700000000000045</v>
      </c>
      <c r="J49">
        <f t="shared" si="2"/>
        <v>198.011976</v>
      </c>
      <c r="K49">
        <f t="shared" si="3"/>
        <v>192.140424</v>
      </c>
      <c r="L49">
        <f t="shared" si="9"/>
        <v>195.0762</v>
      </c>
      <c r="M49">
        <f t="shared" si="4"/>
        <v>5.0880000000000045</v>
      </c>
      <c r="N49">
        <f t="shared" si="5"/>
        <v>10.756032000000008</v>
      </c>
      <c r="O49">
        <f t="shared" si="6"/>
        <v>0</v>
      </c>
      <c r="P49" t="str">
        <f t="shared" si="7"/>
        <v>✅ DENTRO</v>
      </c>
      <c r="Q49" t="str">
        <f t="shared" si="8"/>
        <v>✅ DENTRO</v>
      </c>
    </row>
    <row r="50" spans="1:17" x14ac:dyDescent="0.3">
      <c r="A50" t="str">
        <f t="shared" si="0"/>
        <v>SUB-010</v>
      </c>
      <c r="B50" t="str">
        <f>INDEX(Lotes!$A$2:$A$21,INT((ROW()-2)/5)+1)</f>
        <v>RETEX-2024-010</v>
      </c>
      <c r="C50" s="2">
        <f>INDEX(Lotes!$B$2:$B$21,INT((ROW()-2)/5)+1)</f>
        <v>46158</v>
      </c>
      <c r="D50">
        <f>INDEX(Lotes!$C$2:$C$21,INT((ROW()-2)/5)+1)</f>
        <v>20</v>
      </c>
      <c r="E50" t="str">
        <f>INDEX(Lotes!$F$2:$F$21,INT((ROW()-2)/5)+1)</f>
        <v>Matutino</v>
      </c>
      <c r="F50">
        <f t="shared" si="1"/>
        <v>4</v>
      </c>
      <c r="G50">
        <v>191.9</v>
      </c>
      <c r="H50">
        <f>AVERAGE(INDEX($G$2:$G$101,INT((ROW()-2)/5)*5+1):INDEX($G$2:$G$101,INT((ROW()-2)/5)*5+5))</f>
        <v>195.01799999999997</v>
      </c>
      <c r="I50">
        <f>MAX(INDEX($G$2:$G$101,INT((ROW()-2)/5)*5+1):INDEX($G$2:$G$101,INT((ROW()-2)/5)*5+5))-MIN(INDEX($G$2:$G$101,INT((ROW()-2)/5)*5+1):INDEX($G$2:$G$101,INT((ROW()-2)/5)*5+5))</f>
        <v>4.8700000000000045</v>
      </c>
      <c r="J50">
        <f t="shared" si="2"/>
        <v>198.011976</v>
      </c>
      <c r="K50">
        <f t="shared" si="3"/>
        <v>192.140424</v>
      </c>
      <c r="L50">
        <f t="shared" si="9"/>
        <v>195.0762</v>
      </c>
      <c r="M50">
        <f t="shared" si="4"/>
        <v>5.0880000000000045</v>
      </c>
      <c r="N50">
        <f t="shared" si="5"/>
        <v>10.756032000000008</v>
      </c>
      <c r="O50">
        <f t="shared" si="6"/>
        <v>0</v>
      </c>
      <c r="P50" t="str">
        <f t="shared" si="7"/>
        <v>✅ DENTRO</v>
      </c>
      <c r="Q50" t="str">
        <f t="shared" si="8"/>
        <v>✅ DENTRO</v>
      </c>
    </row>
    <row r="51" spans="1:17" x14ac:dyDescent="0.3">
      <c r="A51" t="str">
        <f t="shared" si="0"/>
        <v>SUB-010</v>
      </c>
      <c r="B51" t="str">
        <f>INDEX(Lotes!$A$2:$A$21,INT((ROW()-2)/5)+1)</f>
        <v>RETEX-2024-010</v>
      </c>
      <c r="C51" s="2">
        <f>INDEX(Lotes!$B$2:$B$21,INT((ROW()-2)/5)+1)</f>
        <v>46158</v>
      </c>
      <c r="D51">
        <f>INDEX(Lotes!$C$2:$C$21,INT((ROW()-2)/5)+1)</f>
        <v>20</v>
      </c>
      <c r="E51" t="str">
        <f>INDEX(Lotes!$F$2:$F$21,INT((ROW()-2)/5)+1)</f>
        <v>Matutino</v>
      </c>
      <c r="F51">
        <f t="shared" si="1"/>
        <v>5</v>
      </c>
      <c r="G51">
        <v>196.44</v>
      </c>
      <c r="H51">
        <f>AVERAGE(INDEX($G$2:$G$101,INT((ROW()-2)/5)*5+1):INDEX($G$2:$G$101,INT((ROW()-2)/5)*5+5))</f>
        <v>195.01799999999997</v>
      </c>
      <c r="I51">
        <f>MAX(INDEX($G$2:$G$101,INT((ROW()-2)/5)*5+1):INDEX($G$2:$G$101,INT((ROW()-2)/5)*5+5))-MIN(INDEX($G$2:$G$101,INT((ROW()-2)/5)*5+1):INDEX($G$2:$G$101,INT((ROW()-2)/5)*5+5))</f>
        <v>4.8700000000000045</v>
      </c>
      <c r="J51">
        <f t="shared" si="2"/>
        <v>198.011976</v>
      </c>
      <c r="K51">
        <f t="shared" si="3"/>
        <v>192.140424</v>
      </c>
      <c r="L51">
        <f t="shared" si="9"/>
        <v>195.0762</v>
      </c>
      <c r="M51">
        <f t="shared" si="4"/>
        <v>5.0880000000000045</v>
      </c>
      <c r="N51">
        <f t="shared" si="5"/>
        <v>10.756032000000008</v>
      </c>
      <c r="O51">
        <f t="shared" si="6"/>
        <v>0</v>
      </c>
      <c r="P51" t="str">
        <f t="shared" si="7"/>
        <v>✅ DENTRO</v>
      </c>
      <c r="Q51" t="str">
        <f t="shared" si="8"/>
        <v>✅ DENTRO</v>
      </c>
    </row>
    <row r="52" spans="1:17" x14ac:dyDescent="0.3">
      <c r="A52" t="str">
        <f t="shared" si="0"/>
        <v>SUB-011</v>
      </c>
      <c r="B52" t="str">
        <f>INDEX(Lotes!$A$2:$A$21,INT((ROW()-2)/5)+1)</f>
        <v>RETEX-2024-011</v>
      </c>
      <c r="C52" s="2">
        <f>INDEX(Lotes!$B$2:$B$21,INT((ROW()-2)/5)+1)</f>
        <v>46165</v>
      </c>
      <c r="D52">
        <f>INDEX(Lotes!$C$2:$C$21,INT((ROW()-2)/5)+1)</f>
        <v>21</v>
      </c>
      <c r="E52" t="str">
        <f>INDEX(Lotes!$F$2:$F$21,INT((ROW()-2)/5)+1)</f>
        <v>Vespertino</v>
      </c>
      <c r="F52">
        <f t="shared" si="1"/>
        <v>1</v>
      </c>
      <c r="G52">
        <v>196.31</v>
      </c>
      <c r="H52">
        <f>AVERAGE(INDEX($G$2:$G$101,INT((ROW()-2)/5)*5+1):INDEX($G$2:$G$101,INT((ROW()-2)/5)*5+5))</f>
        <v>195.678</v>
      </c>
      <c r="I52">
        <f>MAX(INDEX($G$2:$G$101,INT((ROW()-2)/5)*5+1):INDEX($G$2:$G$101,INT((ROW()-2)/5)*5+5))-MIN(INDEX($G$2:$G$101,INT((ROW()-2)/5)*5+1):INDEX($G$2:$G$101,INT((ROW()-2)/5)*5+5))</f>
        <v>7.6899999999999977</v>
      </c>
      <c r="J52">
        <f t="shared" si="2"/>
        <v>198.011976</v>
      </c>
      <c r="K52">
        <f t="shared" si="3"/>
        <v>192.140424</v>
      </c>
      <c r="L52">
        <f t="shared" si="9"/>
        <v>195.0762</v>
      </c>
      <c r="M52">
        <f t="shared" si="4"/>
        <v>5.0880000000000045</v>
      </c>
      <c r="N52">
        <f t="shared" si="5"/>
        <v>10.756032000000008</v>
      </c>
      <c r="O52">
        <f t="shared" si="6"/>
        <v>0</v>
      </c>
      <c r="P52" t="str">
        <f t="shared" si="7"/>
        <v>✅ DENTRO</v>
      </c>
      <c r="Q52" t="str">
        <f t="shared" si="8"/>
        <v>✅ DENTRO</v>
      </c>
    </row>
    <row r="53" spans="1:17" x14ac:dyDescent="0.3">
      <c r="A53" t="str">
        <f t="shared" si="0"/>
        <v>SUB-011</v>
      </c>
      <c r="B53" t="str">
        <f>INDEX(Lotes!$A$2:$A$21,INT((ROW()-2)/5)+1)</f>
        <v>RETEX-2024-011</v>
      </c>
      <c r="C53" s="2">
        <f>INDEX(Lotes!$B$2:$B$21,INT((ROW()-2)/5)+1)</f>
        <v>46165</v>
      </c>
      <c r="D53">
        <f>INDEX(Lotes!$C$2:$C$21,INT((ROW()-2)/5)+1)</f>
        <v>21</v>
      </c>
      <c r="E53" t="str">
        <f>INDEX(Lotes!$F$2:$F$21,INT((ROW()-2)/5)+1)</f>
        <v>Vespertino</v>
      </c>
      <c r="F53">
        <f t="shared" si="1"/>
        <v>2</v>
      </c>
      <c r="G53">
        <v>190.8</v>
      </c>
      <c r="H53">
        <f>AVERAGE(INDEX($G$2:$G$101,INT((ROW()-2)/5)*5+1):INDEX($G$2:$G$101,INT((ROW()-2)/5)*5+5))</f>
        <v>195.678</v>
      </c>
      <c r="I53">
        <f>MAX(INDEX($G$2:$G$101,INT((ROW()-2)/5)*5+1):INDEX($G$2:$G$101,INT((ROW()-2)/5)*5+5))-MIN(INDEX($G$2:$G$101,INT((ROW()-2)/5)*5+1):INDEX($G$2:$G$101,INT((ROW()-2)/5)*5+5))</f>
        <v>7.6899999999999977</v>
      </c>
      <c r="J53">
        <f t="shared" si="2"/>
        <v>198.011976</v>
      </c>
      <c r="K53">
        <f t="shared" si="3"/>
        <v>192.140424</v>
      </c>
      <c r="L53">
        <f t="shared" si="9"/>
        <v>195.0762</v>
      </c>
      <c r="M53">
        <f t="shared" si="4"/>
        <v>5.0880000000000045</v>
      </c>
      <c r="N53">
        <f t="shared" si="5"/>
        <v>10.756032000000008</v>
      </c>
      <c r="O53">
        <f t="shared" si="6"/>
        <v>0</v>
      </c>
      <c r="P53" t="str">
        <f t="shared" si="7"/>
        <v>✅ DENTRO</v>
      </c>
      <c r="Q53" t="str">
        <f t="shared" si="8"/>
        <v>✅ DENTRO</v>
      </c>
    </row>
    <row r="54" spans="1:17" x14ac:dyDescent="0.3">
      <c r="A54" t="str">
        <f t="shared" si="0"/>
        <v>SUB-011</v>
      </c>
      <c r="B54" t="str">
        <f>INDEX(Lotes!$A$2:$A$21,INT((ROW()-2)/5)+1)</f>
        <v>RETEX-2024-011</v>
      </c>
      <c r="C54" s="2">
        <f>INDEX(Lotes!$B$2:$B$21,INT((ROW()-2)/5)+1)</f>
        <v>46165</v>
      </c>
      <c r="D54">
        <f>INDEX(Lotes!$C$2:$C$21,INT((ROW()-2)/5)+1)</f>
        <v>21</v>
      </c>
      <c r="E54" t="str">
        <f>INDEX(Lotes!$F$2:$F$21,INT((ROW()-2)/5)+1)</f>
        <v>Vespertino</v>
      </c>
      <c r="F54">
        <f t="shared" si="1"/>
        <v>3</v>
      </c>
      <c r="G54">
        <v>196.29</v>
      </c>
      <c r="H54">
        <f>AVERAGE(INDEX($G$2:$G$101,INT((ROW()-2)/5)*5+1):INDEX($G$2:$G$101,INT((ROW()-2)/5)*5+5))</f>
        <v>195.678</v>
      </c>
      <c r="I54">
        <f>MAX(INDEX($G$2:$G$101,INT((ROW()-2)/5)*5+1):INDEX($G$2:$G$101,INT((ROW()-2)/5)*5+5))-MIN(INDEX($G$2:$G$101,INT((ROW()-2)/5)*5+1):INDEX($G$2:$G$101,INT((ROW()-2)/5)*5+5))</f>
        <v>7.6899999999999977</v>
      </c>
      <c r="J54">
        <f t="shared" si="2"/>
        <v>198.011976</v>
      </c>
      <c r="K54">
        <f t="shared" si="3"/>
        <v>192.140424</v>
      </c>
      <c r="L54">
        <f t="shared" si="9"/>
        <v>195.0762</v>
      </c>
      <c r="M54">
        <f t="shared" si="4"/>
        <v>5.0880000000000045</v>
      </c>
      <c r="N54">
        <f t="shared" si="5"/>
        <v>10.756032000000008</v>
      </c>
      <c r="O54">
        <f t="shared" si="6"/>
        <v>0</v>
      </c>
      <c r="P54" t="str">
        <f t="shared" si="7"/>
        <v>✅ DENTRO</v>
      </c>
      <c r="Q54" t="str">
        <f t="shared" si="8"/>
        <v>✅ DENTRO</v>
      </c>
    </row>
    <row r="55" spans="1:17" x14ac:dyDescent="0.3">
      <c r="A55" t="str">
        <f t="shared" si="0"/>
        <v>SUB-011</v>
      </c>
      <c r="B55" t="str">
        <f>INDEX(Lotes!$A$2:$A$21,INT((ROW()-2)/5)+1)</f>
        <v>RETEX-2024-011</v>
      </c>
      <c r="C55" s="2">
        <f>INDEX(Lotes!$B$2:$B$21,INT((ROW()-2)/5)+1)</f>
        <v>46165</v>
      </c>
      <c r="D55">
        <f>INDEX(Lotes!$C$2:$C$21,INT((ROW()-2)/5)+1)</f>
        <v>21</v>
      </c>
      <c r="E55" t="str">
        <f>INDEX(Lotes!$F$2:$F$21,INT((ROW()-2)/5)+1)</f>
        <v>Vespertino</v>
      </c>
      <c r="F55">
        <f t="shared" si="1"/>
        <v>4</v>
      </c>
      <c r="G55">
        <v>196.5</v>
      </c>
      <c r="H55">
        <f>AVERAGE(INDEX($G$2:$G$101,INT((ROW()-2)/5)*5+1):INDEX($G$2:$G$101,INT((ROW()-2)/5)*5+5))</f>
        <v>195.678</v>
      </c>
      <c r="I55">
        <f>MAX(INDEX($G$2:$G$101,INT((ROW()-2)/5)*5+1):INDEX($G$2:$G$101,INT((ROW()-2)/5)*5+5))-MIN(INDEX($G$2:$G$101,INT((ROW()-2)/5)*5+1):INDEX($G$2:$G$101,INT((ROW()-2)/5)*5+5))</f>
        <v>7.6899999999999977</v>
      </c>
      <c r="J55">
        <f t="shared" si="2"/>
        <v>198.011976</v>
      </c>
      <c r="K55">
        <f t="shared" si="3"/>
        <v>192.140424</v>
      </c>
      <c r="L55">
        <f t="shared" si="9"/>
        <v>195.0762</v>
      </c>
      <c r="M55">
        <f t="shared" si="4"/>
        <v>5.0880000000000045</v>
      </c>
      <c r="N55">
        <f t="shared" si="5"/>
        <v>10.756032000000008</v>
      </c>
      <c r="O55">
        <f t="shared" si="6"/>
        <v>0</v>
      </c>
      <c r="P55" t="str">
        <f t="shared" si="7"/>
        <v>✅ DENTRO</v>
      </c>
      <c r="Q55" t="str">
        <f t="shared" si="8"/>
        <v>✅ DENTRO</v>
      </c>
    </row>
    <row r="56" spans="1:17" x14ac:dyDescent="0.3">
      <c r="A56" t="str">
        <f t="shared" si="0"/>
        <v>SUB-011</v>
      </c>
      <c r="B56" t="str">
        <f>INDEX(Lotes!$A$2:$A$21,INT((ROW()-2)/5)+1)</f>
        <v>RETEX-2024-011</v>
      </c>
      <c r="C56" s="2">
        <f>INDEX(Lotes!$B$2:$B$21,INT((ROW()-2)/5)+1)</f>
        <v>46165</v>
      </c>
      <c r="D56">
        <f>INDEX(Lotes!$C$2:$C$21,INT((ROW()-2)/5)+1)</f>
        <v>21</v>
      </c>
      <c r="E56" t="str">
        <f>INDEX(Lotes!$F$2:$F$21,INT((ROW()-2)/5)+1)</f>
        <v>Vespertino</v>
      </c>
      <c r="F56">
        <f t="shared" si="1"/>
        <v>5</v>
      </c>
      <c r="G56">
        <v>198.49</v>
      </c>
      <c r="H56">
        <f>AVERAGE(INDEX($G$2:$G$101,INT((ROW()-2)/5)*5+1):INDEX($G$2:$G$101,INT((ROW()-2)/5)*5+5))</f>
        <v>195.678</v>
      </c>
      <c r="I56">
        <f>MAX(INDEX($G$2:$G$101,INT((ROW()-2)/5)*5+1):INDEX($G$2:$G$101,INT((ROW()-2)/5)*5+5))-MIN(INDEX($G$2:$G$101,INT((ROW()-2)/5)*5+1):INDEX($G$2:$G$101,INT((ROW()-2)/5)*5+5))</f>
        <v>7.6899999999999977</v>
      </c>
      <c r="J56">
        <f t="shared" si="2"/>
        <v>198.011976</v>
      </c>
      <c r="K56">
        <f t="shared" si="3"/>
        <v>192.140424</v>
      </c>
      <c r="L56">
        <f t="shared" si="9"/>
        <v>195.0762</v>
      </c>
      <c r="M56">
        <f t="shared" si="4"/>
        <v>5.0880000000000045</v>
      </c>
      <c r="N56">
        <f t="shared" si="5"/>
        <v>10.756032000000008</v>
      </c>
      <c r="O56">
        <f t="shared" si="6"/>
        <v>0</v>
      </c>
      <c r="P56" t="str">
        <f t="shared" si="7"/>
        <v>✅ DENTRO</v>
      </c>
      <c r="Q56" t="str">
        <f t="shared" si="8"/>
        <v>✅ DENTRO</v>
      </c>
    </row>
    <row r="57" spans="1:17" x14ac:dyDescent="0.3">
      <c r="A57" t="str">
        <f t="shared" si="0"/>
        <v>SUB-012</v>
      </c>
      <c r="B57" t="str">
        <f>INDEX(Lotes!$A$2:$A$21,INT((ROW()-2)/5)+1)</f>
        <v>RETEX-2024-012</v>
      </c>
      <c r="C57" s="2">
        <f>INDEX(Lotes!$B$2:$B$21,INT((ROW()-2)/5)+1)</f>
        <v>46172</v>
      </c>
      <c r="D57">
        <f>INDEX(Lotes!$C$2:$C$21,INT((ROW()-2)/5)+1)</f>
        <v>22</v>
      </c>
      <c r="E57" t="str">
        <f>INDEX(Lotes!$F$2:$F$21,INT((ROW()-2)/5)+1)</f>
        <v>Nocturno</v>
      </c>
      <c r="F57">
        <f t="shared" si="1"/>
        <v>1</v>
      </c>
      <c r="G57">
        <v>198.61</v>
      </c>
      <c r="H57">
        <f>AVERAGE(INDEX($G$2:$G$101,INT((ROW()-2)/5)*5+1):INDEX($G$2:$G$101,INT((ROW()-2)/5)*5+5))</f>
        <v>196.048</v>
      </c>
      <c r="I57">
        <f>MAX(INDEX($G$2:$G$101,INT((ROW()-2)/5)*5+1):INDEX($G$2:$G$101,INT((ROW()-2)/5)*5+5))-MIN(INDEX($G$2:$G$101,INT((ROW()-2)/5)*5+1):INDEX($G$2:$G$101,INT((ROW()-2)/5)*5+5))</f>
        <v>8.6100000000000136</v>
      </c>
      <c r="J57">
        <f t="shared" si="2"/>
        <v>198.011976</v>
      </c>
      <c r="K57">
        <f t="shared" si="3"/>
        <v>192.140424</v>
      </c>
      <c r="L57">
        <f t="shared" si="9"/>
        <v>195.0762</v>
      </c>
      <c r="M57">
        <f t="shared" si="4"/>
        <v>5.0880000000000045</v>
      </c>
      <c r="N57">
        <f t="shared" si="5"/>
        <v>10.756032000000008</v>
      </c>
      <c r="O57">
        <f t="shared" si="6"/>
        <v>0</v>
      </c>
      <c r="P57" t="str">
        <f t="shared" si="7"/>
        <v>✅ DENTRO</v>
      </c>
      <c r="Q57" t="str">
        <f t="shared" si="8"/>
        <v>✅ DENTRO</v>
      </c>
    </row>
    <row r="58" spans="1:17" x14ac:dyDescent="0.3">
      <c r="A58" t="str">
        <f t="shared" si="0"/>
        <v>SUB-012</v>
      </c>
      <c r="B58" t="str">
        <f>INDEX(Lotes!$A$2:$A$21,INT((ROW()-2)/5)+1)</f>
        <v>RETEX-2024-012</v>
      </c>
      <c r="C58" s="2">
        <f>INDEX(Lotes!$B$2:$B$21,INT((ROW()-2)/5)+1)</f>
        <v>46172</v>
      </c>
      <c r="D58">
        <f>INDEX(Lotes!$C$2:$C$21,INT((ROW()-2)/5)+1)</f>
        <v>22</v>
      </c>
      <c r="E58" t="str">
        <f>INDEX(Lotes!$F$2:$F$21,INT((ROW()-2)/5)+1)</f>
        <v>Nocturno</v>
      </c>
      <c r="F58">
        <f t="shared" si="1"/>
        <v>2</v>
      </c>
      <c r="G58">
        <v>190</v>
      </c>
      <c r="H58">
        <f>AVERAGE(INDEX($G$2:$G$101,INT((ROW()-2)/5)*5+1):INDEX($G$2:$G$101,INT((ROW()-2)/5)*5+5))</f>
        <v>196.048</v>
      </c>
      <c r="I58">
        <f>MAX(INDEX($G$2:$G$101,INT((ROW()-2)/5)*5+1):INDEX($G$2:$G$101,INT((ROW()-2)/5)*5+5))-MIN(INDEX($G$2:$G$101,INT((ROW()-2)/5)*5+1):INDEX($G$2:$G$101,INT((ROW()-2)/5)*5+5))</f>
        <v>8.6100000000000136</v>
      </c>
      <c r="J58">
        <f t="shared" si="2"/>
        <v>198.011976</v>
      </c>
      <c r="K58">
        <f t="shared" si="3"/>
        <v>192.140424</v>
      </c>
      <c r="L58">
        <f t="shared" si="9"/>
        <v>195.0762</v>
      </c>
      <c r="M58">
        <f t="shared" si="4"/>
        <v>5.0880000000000045</v>
      </c>
      <c r="N58">
        <f t="shared" si="5"/>
        <v>10.756032000000008</v>
      </c>
      <c r="O58">
        <f t="shared" si="6"/>
        <v>0</v>
      </c>
      <c r="P58" t="str">
        <f t="shared" si="7"/>
        <v>✅ DENTRO</v>
      </c>
      <c r="Q58" t="str">
        <f t="shared" si="8"/>
        <v>✅ DENTRO</v>
      </c>
    </row>
    <row r="59" spans="1:17" x14ac:dyDescent="0.3">
      <c r="A59" t="str">
        <f t="shared" si="0"/>
        <v>SUB-012</v>
      </c>
      <c r="B59" t="str">
        <f>INDEX(Lotes!$A$2:$A$21,INT((ROW()-2)/5)+1)</f>
        <v>RETEX-2024-012</v>
      </c>
      <c r="C59" s="2">
        <f>INDEX(Lotes!$B$2:$B$21,INT((ROW()-2)/5)+1)</f>
        <v>46172</v>
      </c>
      <c r="D59">
        <f>INDEX(Lotes!$C$2:$C$21,INT((ROW()-2)/5)+1)</f>
        <v>22</v>
      </c>
      <c r="E59" t="str">
        <f>INDEX(Lotes!$F$2:$F$21,INT((ROW()-2)/5)+1)</f>
        <v>Nocturno</v>
      </c>
      <c r="F59">
        <f t="shared" si="1"/>
        <v>3</v>
      </c>
      <c r="G59">
        <v>196.61</v>
      </c>
      <c r="H59">
        <f>AVERAGE(INDEX($G$2:$G$101,INT((ROW()-2)/5)*5+1):INDEX($G$2:$G$101,INT((ROW()-2)/5)*5+5))</f>
        <v>196.048</v>
      </c>
      <c r="I59">
        <f>MAX(INDEX($G$2:$G$101,INT((ROW()-2)/5)*5+1):INDEX($G$2:$G$101,INT((ROW()-2)/5)*5+5))-MIN(INDEX($G$2:$G$101,INT((ROW()-2)/5)*5+1):INDEX($G$2:$G$101,INT((ROW()-2)/5)*5+5))</f>
        <v>8.6100000000000136</v>
      </c>
      <c r="J59">
        <f t="shared" si="2"/>
        <v>198.011976</v>
      </c>
      <c r="K59">
        <f t="shared" si="3"/>
        <v>192.140424</v>
      </c>
      <c r="L59">
        <f t="shared" si="9"/>
        <v>195.0762</v>
      </c>
      <c r="M59">
        <f t="shared" si="4"/>
        <v>5.0880000000000045</v>
      </c>
      <c r="N59">
        <f t="shared" si="5"/>
        <v>10.756032000000008</v>
      </c>
      <c r="O59">
        <f t="shared" si="6"/>
        <v>0</v>
      </c>
      <c r="P59" t="str">
        <f t="shared" si="7"/>
        <v>✅ DENTRO</v>
      </c>
      <c r="Q59" t="str">
        <f t="shared" si="8"/>
        <v>✅ DENTRO</v>
      </c>
    </row>
    <row r="60" spans="1:17" x14ac:dyDescent="0.3">
      <c r="A60" t="str">
        <f t="shared" si="0"/>
        <v>SUB-012</v>
      </c>
      <c r="B60" t="str">
        <f>INDEX(Lotes!$A$2:$A$21,INT((ROW()-2)/5)+1)</f>
        <v>RETEX-2024-012</v>
      </c>
      <c r="C60" s="2">
        <f>INDEX(Lotes!$B$2:$B$21,INT((ROW()-2)/5)+1)</f>
        <v>46172</v>
      </c>
      <c r="D60">
        <f>INDEX(Lotes!$C$2:$C$21,INT((ROW()-2)/5)+1)</f>
        <v>22</v>
      </c>
      <c r="E60" t="str">
        <f>INDEX(Lotes!$F$2:$F$21,INT((ROW()-2)/5)+1)</f>
        <v>Nocturno</v>
      </c>
      <c r="F60">
        <f t="shared" si="1"/>
        <v>4</v>
      </c>
      <c r="G60">
        <v>197.42</v>
      </c>
      <c r="H60">
        <f>AVERAGE(INDEX($G$2:$G$101,INT((ROW()-2)/5)*5+1):INDEX($G$2:$G$101,INT((ROW()-2)/5)*5+5))</f>
        <v>196.048</v>
      </c>
      <c r="I60">
        <f>MAX(INDEX($G$2:$G$101,INT((ROW()-2)/5)*5+1):INDEX($G$2:$G$101,INT((ROW()-2)/5)*5+5))-MIN(INDEX($G$2:$G$101,INT((ROW()-2)/5)*5+1):INDEX($G$2:$G$101,INT((ROW()-2)/5)*5+5))</f>
        <v>8.6100000000000136</v>
      </c>
      <c r="J60">
        <f t="shared" si="2"/>
        <v>198.011976</v>
      </c>
      <c r="K60">
        <f t="shared" si="3"/>
        <v>192.140424</v>
      </c>
      <c r="L60">
        <f t="shared" si="9"/>
        <v>195.0762</v>
      </c>
      <c r="M60">
        <f t="shared" si="4"/>
        <v>5.0880000000000045</v>
      </c>
      <c r="N60">
        <f t="shared" si="5"/>
        <v>10.756032000000008</v>
      </c>
      <c r="O60">
        <f t="shared" si="6"/>
        <v>0</v>
      </c>
      <c r="P60" t="str">
        <f t="shared" si="7"/>
        <v>✅ DENTRO</v>
      </c>
      <c r="Q60" t="str">
        <f t="shared" si="8"/>
        <v>✅ DENTRO</v>
      </c>
    </row>
    <row r="61" spans="1:17" x14ac:dyDescent="0.3">
      <c r="A61" t="str">
        <f t="shared" si="0"/>
        <v>SUB-012</v>
      </c>
      <c r="B61" t="str">
        <f>INDEX(Lotes!$A$2:$A$21,INT((ROW()-2)/5)+1)</f>
        <v>RETEX-2024-012</v>
      </c>
      <c r="C61" s="2">
        <f>INDEX(Lotes!$B$2:$B$21,INT((ROW()-2)/5)+1)</f>
        <v>46172</v>
      </c>
      <c r="D61">
        <f>INDEX(Lotes!$C$2:$C$21,INT((ROW()-2)/5)+1)</f>
        <v>22</v>
      </c>
      <c r="E61" t="str">
        <f>INDEX(Lotes!$F$2:$F$21,INT((ROW()-2)/5)+1)</f>
        <v>Nocturno</v>
      </c>
      <c r="F61">
        <f t="shared" si="1"/>
        <v>5</v>
      </c>
      <c r="G61">
        <v>197.6</v>
      </c>
      <c r="H61">
        <f>AVERAGE(INDEX($G$2:$G$101,INT((ROW()-2)/5)*5+1):INDEX($G$2:$G$101,INT((ROW()-2)/5)*5+5))</f>
        <v>196.048</v>
      </c>
      <c r="I61">
        <f>MAX(INDEX($G$2:$G$101,INT((ROW()-2)/5)*5+1):INDEX($G$2:$G$101,INT((ROW()-2)/5)*5+5))-MIN(INDEX($G$2:$G$101,INT((ROW()-2)/5)*5+1):INDEX($G$2:$G$101,INT((ROW()-2)/5)*5+5))</f>
        <v>8.6100000000000136</v>
      </c>
      <c r="J61">
        <f t="shared" si="2"/>
        <v>198.011976</v>
      </c>
      <c r="K61">
        <f t="shared" si="3"/>
        <v>192.140424</v>
      </c>
      <c r="L61">
        <f t="shared" si="9"/>
        <v>195.0762</v>
      </c>
      <c r="M61">
        <f t="shared" si="4"/>
        <v>5.0880000000000045</v>
      </c>
      <c r="N61">
        <f t="shared" si="5"/>
        <v>10.756032000000008</v>
      </c>
      <c r="O61">
        <f t="shared" si="6"/>
        <v>0</v>
      </c>
      <c r="P61" t="str">
        <f t="shared" si="7"/>
        <v>✅ DENTRO</v>
      </c>
      <c r="Q61" t="str">
        <f t="shared" si="8"/>
        <v>✅ DENTRO</v>
      </c>
    </row>
    <row r="62" spans="1:17" x14ac:dyDescent="0.3">
      <c r="A62" t="str">
        <f t="shared" si="0"/>
        <v>SUB-013</v>
      </c>
      <c r="B62" t="str">
        <f>INDEX(Lotes!$A$2:$A$21,INT((ROW()-2)/5)+1)</f>
        <v>RETEX-2024-013</v>
      </c>
      <c r="C62" s="2">
        <f>INDEX(Lotes!$B$2:$B$21,INT((ROW()-2)/5)+1)</f>
        <v>46179</v>
      </c>
      <c r="D62">
        <f>INDEX(Lotes!$C$2:$C$21,INT((ROW()-2)/5)+1)</f>
        <v>23</v>
      </c>
      <c r="E62" t="str">
        <f>INDEX(Lotes!$F$2:$F$21,INT((ROW()-2)/5)+1)</f>
        <v>Matutino</v>
      </c>
      <c r="F62">
        <f t="shared" si="1"/>
        <v>1</v>
      </c>
      <c r="G62">
        <v>195.63</v>
      </c>
      <c r="H62">
        <f>AVERAGE(INDEX($G$2:$G$101,INT((ROW()-2)/5)*5+1):INDEX($G$2:$G$101,INT((ROW()-2)/5)*5+5))</f>
        <v>194.51399999999998</v>
      </c>
      <c r="I62">
        <f>MAX(INDEX($G$2:$G$101,INT((ROW()-2)/5)*5+1):INDEX($G$2:$G$101,INT((ROW()-2)/5)*5+5))-MIN(INDEX($G$2:$G$101,INT((ROW()-2)/5)*5+1):INDEX($G$2:$G$101,INT((ROW()-2)/5)*5+5))</f>
        <v>3.4500000000000171</v>
      </c>
      <c r="J62">
        <f t="shared" si="2"/>
        <v>198.011976</v>
      </c>
      <c r="K62">
        <f t="shared" si="3"/>
        <v>192.140424</v>
      </c>
      <c r="L62">
        <f t="shared" si="9"/>
        <v>195.0762</v>
      </c>
      <c r="M62">
        <f t="shared" si="4"/>
        <v>5.0880000000000045</v>
      </c>
      <c r="N62">
        <f t="shared" si="5"/>
        <v>10.756032000000008</v>
      </c>
      <c r="O62">
        <f t="shared" si="6"/>
        <v>0</v>
      </c>
      <c r="P62" t="str">
        <f t="shared" si="7"/>
        <v>✅ DENTRO</v>
      </c>
      <c r="Q62" t="str">
        <f t="shared" si="8"/>
        <v>✅ DENTRO</v>
      </c>
    </row>
    <row r="63" spans="1:17" x14ac:dyDescent="0.3">
      <c r="A63" t="str">
        <f t="shared" si="0"/>
        <v>SUB-013</v>
      </c>
      <c r="B63" t="str">
        <f>INDEX(Lotes!$A$2:$A$21,INT((ROW()-2)/5)+1)</f>
        <v>RETEX-2024-013</v>
      </c>
      <c r="C63" s="2">
        <f>INDEX(Lotes!$B$2:$B$21,INT((ROW()-2)/5)+1)</f>
        <v>46179</v>
      </c>
      <c r="D63">
        <f>INDEX(Lotes!$C$2:$C$21,INT((ROW()-2)/5)+1)</f>
        <v>23</v>
      </c>
      <c r="E63" t="str">
        <f>INDEX(Lotes!$F$2:$F$21,INT((ROW()-2)/5)+1)</f>
        <v>Matutino</v>
      </c>
      <c r="F63">
        <f t="shared" si="1"/>
        <v>2</v>
      </c>
      <c r="G63">
        <v>196.18</v>
      </c>
      <c r="H63">
        <f>AVERAGE(INDEX($G$2:$G$101,INT((ROW()-2)/5)*5+1):INDEX($G$2:$G$101,INT((ROW()-2)/5)*5+5))</f>
        <v>194.51399999999998</v>
      </c>
      <c r="I63">
        <f>MAX(INDEX($G$2:$G$101,INT((ROW()-2)/5)*5+1):INDEX($G$2:$G$101,INT((ROW()-2)/5)*5+5))-MIN(INDEX($G$2:$G$101,INT((ROW()-2)/5)*5+1):INDEX($G$2:$G$101,INT((ROW()-2)/5)*5+5))</f>
        <v>3.4500000000000171</v>
      </c>
      <c r="J63">
        <f t="shared" si="2"/>
        <v>198.011976</v>
      </c>
      <c r="K63">
        <f t="shared" si="3"/>
        <v>192.140424</v>
      </c>
      <c r="L63">
        <f t="shared" si="9"/>
        <v>195.0762</v>
      </c>
      <c r="M63">
        <f t="shared" si="4"/>
        <v>5.0880000000000045</v>
      </c>
      <c r="N63">
        <f t="shared" si="5"/>
        <v>10.756032000000008</v>
      </c>
      <c r="O63">
        <f t="shared" si="6"/>
        <v>0</v>
      </c>
      <c r="P63" t="str">
        <f t="shared" si="7"/>
        <v>✅ DENTRO</v>
      </c>
      <c r="Q63" t="str">
        <f t="shared" si="8"/>
        <v>✅ DENTRO</v>
      </c>
    </row>
    <row r="64" spans="1:17" x14ac:dyDescent="0.3">
      <c r="A64" t="str">
        <f t="shared" si="0"/>
        <v>SUB-013</v>
      </c>
      <c r="B64" t="str">
        <f>INDEX(Lotes!$A$2:$A$21,INT((ROW()-2)/5)+1)</f>
        <v>RETEX-2024-013</v>
      </c>
      <c r="C64" s="2">
        <f>INDEX(Lotes!$B$2:$B$21,INT((ROW()-2)/5)+1)</f>
        <v>46179</v>
      </c>
      <c r="D64">
        <f>INDEX(Lotes!$C$2:$C$21,INT((ROW()-2)/5)+1)</f>
        <v>23</v>
      </c>
      <c r="E64" t="str">
        <f>INDEX(Lotes!$F$2:$F$21,INT((ROW()-2)/5)+1)</f>
        <v>Matutino</v>
      </c>
      <c r="F64">
        <f t="shared" si="1"/>
        <v>3</v>
      </c>
      <c r="G64">
        <v>192.73</v>
      </c>
      <c r="H64">
        <f>AVERAGE(INDEX($G$2:$G$101,INT((ROW()-2)/5)*5+1):INDEX($G$2:$G$101,INT((ROW()-2)/5)*5+5))</f>
        <v>194.51399999999998</v>
      </c>
      <c r="I64">
        <f>MAX(INDEX($G$2:$G$101,INT((ROW()-2)/5)*5+1):INDEX($G$2:$G$101,INT((ROW()-2)/5)*5+5))-MIN(INDEX($G$2:$G$101,INT((ROW()-2)/5)*5+1):INDEX($G$2:$G$101,INT((ROW()-2)/5)*5+5))</f>
        <v>3.4500000000000171</v>
      </c>
      <c r="J64">
        <f t="shared" si="2"/>
        <v>198.011976</v>
      </c>
      <c r="K64">
        <f t="shared" si="3"/>
        <v>192.140424</v>
      </c>
      <c r="L64">
        <f t="shared" si="9"/>
        <v>195.0762</v>
      </c>
      <c r="M64">
        <f t="shared" si="4"/>
        <v>5.0880000000000045</v>
      </c>
      <c r="N64">
        <f t="shared" si="5"/>
        <v>10.756032000000008</v>
      </c>
      <c r="O64">
        <f t="shared" si="6"/>
        <v>0</v>
      </c>
      <c r="P64" t="str">
        <f t="shared" si="7"/>
        <v>✅ DENTRO</v>
      </c>
      <c r="Q64" t="str">
        <f t="shared" si="8"/>
        <v>✅ DENTRO</v>
      </c>
    </row>
    <row r="65" spans="1:17" x14ac:dyDescent="0.3">
      <c r="A65" t="str">
        <f t="shared" si="0"/>
        <v>SUB-013</v>
      </c>
      <c r="B65" t="str">
        <f>INDEX(Lotes!$A$2:$A$21,INT((ROW()-2)/5)+1)</f>
        <v>RETEX-2024-013</v>
      </c>
      <c r="C65" s="2">
        <f>INDEX(Lotes!$B$2:$B$21,INT((ROW()-2)/5)+1)</f>
        <v>46179</v>
      </c>
      <c r="D65">
        <f>INDEX(Lotes!$C$2:$C$21,INT((ROW()-2)/5)+1)</f>
        <v>23</v>
      </c>
      <c r="E65" t="str">
        <f>INDEX(Lotes!$F$2:$F$21,INT((ROW()-2)/5)+1)</f>
        <v>Matutino</v>
      </c>
      <c r="F65">
        <f t="shared" si="1"/>
        <v>4</v>
      </c>
      <c r="G65">
        <v>194.4</v>
      </c>
      <c r="H65">
        <f>AVERAGE(INDEX($G$2:$G$101,INT((ROW()-2)/5)*5+1):INDEX($G$2:$G$101,INT((ROW()-2)/5)*5+5))</f>
        <v>194.51399999999998</v>
      </c>
      <c r="I65">
        <f>MAX(INDEX($G$2:$G$101,INT((ROW()-2)/5)*5+1):INDEX($G$2:$G$101,INT((ROW()-2)/5)*5+5))-MIN(INDEX($G$2:$G$101,INT((ROW()-2)/5)*5+1):INDEX($G$2:$G$101,INT((ROW()-2)/5)*5+5))</f>
        <v>3.4500000000000171</v>
      </c>
      <c r="J65">
        <f t="shared" si="2"/>
        <v>198.011976</v>
      </c>
      <c r="K65">
        <f t="shared" si="3"/>
        <v>192.140424</v>
      </c>
      <c r="L65">
        <f t="shared" si="9"/>
        <v>195.0762</v>
      </c>
      <c r="M65">
        <f t="shared" si="4"/>
        <v>5.0880000000000045</v>
      </c>
      <c r="N65">
        <f t="shared" si="5"/>
        <v>10.756032000000008</v>
      </c>
      <c r="O65">
        <f t="shared" si="6"/>
        <v>0</v>
      </c>
      <c r="P65" t="str">
        <f t="shared" si="7"/>
        <v>✅ DENTRO</v>
      </c>
      <c r="Q65" t="str">
        <f t="shared" si="8"/>
        <v>✅ DENTRO</v>
      </c>
    </row>
    <row r="66" spans="1:17" x14ac:dyDescent="0.3">
      <c r="A66" t="str">
        <f t="shared" si="0"/>
        <v>SUB-013</v>
      </c>
      <c r="B66" t="str">
        <f>INDEX(Lotes!$A$2:$A$21,INT((ROW()-2)/5)+1)</f>
        <v>RETEX-2024-013</v>
      </c>
      <c r="C66" s="2">
        <f>INDEX(Lotes!$B$2:$B$21,INT((ROW()-2)/5)+1)</f>
        <v>46179</v>
      </c>
      <c r="D66">
        <f>INDEX(Lotes!$C$2:$C$21,INT((ROW()-2)/5)+1)</f>
        <v>23</v>
      </c>
      <c r="E66" t="str">
        <f>INDEX(Lotes!$F$2:$F$21,INT((ROW()-2)/5)+1)</f>
        <v>Matutino</v>
      </c>
      <c r="F66">
        <f t="shared" si="1"/>
        <v>5</v>
      </c>
      <c r="G66">
        <v>193.63</v>
      </c>
      <c r="H66">
        <f>AVERAGE(INDEX($G$2:$G$101,INT((ROW()-2)/5)*5+1):INDEX($G$2:$G$101,INT((ROW()-2)/5)*5+5))</f>
        <v>194.51399999999998</v>
      </c>
      <c r="I66">
        <f>MAX(INDEX($G$2:$G$101,INT((ROW()-2)/5)*5+1):INDEX($G$2:$G$101,INT((ROW()-2)/5)*5+5))-MIN(INDEX($G$2:$G$101,INT((ROW()-2)/5)*5+1):INDEX($G$2:$G$101,INT((ROW()-2)/5)*5+5))</f>
        <v>3.4500000000000171</v>
      </c>
      <c r="J66">
        <f t="shared" si="2"/>
        <v>198.011976</v>
      </c>
      <c r="K66">
        <f t="shared" si="3"/>
        <v>192.140424</v>
      </c>
      <c r="L66">
        <f t="shared" si="9"/>
        <v>195.0762</v>
      </c>
      <c r="M66">
        <f t="shared" si="4"/>
        <v>5.0880000000000045</v>
      </c>
      <c r="N66">
        <f t="shared" si="5"/>
        <v>10.756032000000008</v>
      </c>
      <c r="O66">
        <f t="shared" si="6"/>
        <v>0</v>
      </c>
      <c r="P66" t="str">
        <f t="shared" si="7"/>
        <v>✅ DENTRO</v>
      </c>
      <c r="Q66" t="str">
        <f t="shared" si="8"/>
        <v>✅ DENTRO</v>
      </c>
    </row>
    <row r="67" spans="1:17" x14ac:dyDescent="0.3">
      <c r="A67" t="str">
        <f t="shared" ref="A67:A101" si="10">"SUB-"&amp;TEXT(INT((ROW()-2)/5)+1,"000")</f>
        <v>SUB-014</v>
      </c>
      <c r="B67" t="str">
        <f>INDEX(Lotes!$A$2:$A$21,INT((ROW()-2)/5)+1)</f>
        <v>RETEX-2024-014</v>
      </c>
      <c r="C67" s="2">
        <f>INDEX(Lotes!$B$2:$B$21,INT((ROW()-2)/5)+1)</f>
        <v>46186</v>
      </c>
      <c r="D67">
        <f>INDEX(Lotes!$C$2:$C$21,INT((ROW()-2)/5)+1)</f>
        <v>24</v>
      </c>
      <c r="E67" t="str">
        <f>INDEX(Lotes!$F$2:$F$21,INT((ROW()-2)/5)+1)</f>
        <v>Vespertino</v>
      </c>
      <c r="F67">
        <f t="shared" ref="F67:F101" si="11">MOD(ROW()-2,5)+1</f>
        <v>1</v>
      </c>
      <c r="G67">
        <v>194.02</v>
      </c>
      <c r="H67">
        <f>AVERAGE(INDEX($G$2:$G$101,INT((ROW()-2)/5)*5+1):INDEX($G$2:$G$101,INT((ROW()-2)/5)*5+5))</f>
        <v>193.60999999999999</v>
      </c>
      <c r="I67">
        <f>MAX(INDEX($G$2:$G$101,INT((ROW()-2)/5)*5+1):INDEX($G$2:$G$101,INT((ROW()-2)/5)*5+5))-MIN(INDEX($G$2:$G$101,INT((ROW()-2)/5)*5+1):INDEX($G$2:$G$101,INT((ROW()-2)/5)*5+5))</f>
        <v>7.3400000000000034</v>
      </c>
      <c r="J67">
        <f t="shared" ref="J67:J101" si="12">$L67+(0.577*$M67)</f>
        <v>198.011976</v>
      </c>
      <c r="K67">
        <f t="shared" ref="K67:K101" si="13">$L67-(0.577*$M67)</f>
        <v>192.140424</v>
      </c>
      <c r="L67">
        <f t="shared" ref="L67:L101" si="14">AVERAGE($H$2:$H$101)</f>
        <v>195.0762</v>
      </c>
      <c r="M67">
        <f t="shared" ref="M67:M101" si="15">AVERAGE($I$2:$I$101)</f>
        <v>5.0880000000000045</v>
      </c>
      <c r="N67">
        <f t="shared" ref="N67:N101" si="16">2.114*$M67</f>
        <v>10.756032000000008</v>
      </c>
      <c r="O67">
        <f t="shared" ref="O67:O101" si="17">0*$M67</f>
        <v>0</v>
      </c>
      <c r="P67" t="str">
        <f t="shared" ref="P67:P101" si="18">IF(H67&gt;J67,"⚠️ FUERA — Encima LCS",IF(H67&lt;K67,"⚠️ FUERA — Bajo LCI","✅ DENTRO"))</f>
        <v>✅ DENTRO</v>
      </c>
      <c r="Q67" t="str">
        <f t="shared" ref="Q67:Q101" si="19">IF(I67&gt;N67,"⚠️ FUERA — Encima LCS","✅ DENTRO")</f>
        <v>✅ DENTRO</v>
      </c>
    </row>
    <row r="68" spans="1:17" x14ac:dyDescent="0.3">
      <c r="A68" t="str">
        <f t="shared" si="10"/>
        <v>SUB-014</v>
      </c>
      <c r="B68" t="str">
        <f>INDEX(Lotes!$A$2:$A$21,INT((ROW()-2)/5)+1)</f>
        <v>RETEX-2024-014</v>
      </c>
      <c r="C68" s="2">
        <f>INDEX(Lotes!$B$2:$B$21,INT((ROW()-2)/5)+1)</f>
        <v>46186</v>
      </c>
      <c r="D68">
        <f>INDEX(Lotes!$C$2:$C$21,INT((ROW()-2)/5)+1)</f>
        <v>24</v>
      </c>
      <c r="E68" t="str">
        <f>INDEX(Lotes!$F$2:$F$21,INT((ROW()-2)/5)+1)</f>
        <v>Vespertino</v>
      </c>
      <c r="F68">
        <f t="shared" si="11"/>
        <v>2</v>
      </c>
      <c r="G68">
        <v>190</v>
      </c>
      <c r="H68">
        <f>AVERAGE(INDEX($G$2:$G$101,INT((ROW()-2)/5)*5+1):INDEX($G$2:$G$101,INT((ROW()-2)/5)*5+5))</f>
        <v>193.60999999999999</v>
      </c>
      <c r="I68">
        <f>MAX(INDEX($G$2:$G$101,INT((ROW()-2)/5)*5+1):INDEX($G$2:$G$101,INT((ROW()-2)/5)*5+5))-MIN(INDEX($G$2:$G$101,INT((ROW()-2)/5)*5+1):INDEX($G$2:$G$101,INT((ROW()-2)/5)*5+5))</f>
        <v>7.3400000000000034</v>
      </c>
      <c r="J68">
        <f t="shared" si="12"/>
        <v>198.011976</v>
      </c>
      <c r="K68">
        <f t="shared" si="13"/>
        <v>192.140424</v>
      </c>
      <c r="L68">
        <f t="shared" si="14"/>
        <v>195.0762</v>
      </c>
      <c r="M68">
        <f t="shared" si="15"/>
        <v>5.0880000000000045</v>
      </c>
      <c r="N68">
        <f t="shared" si="16"/>
        <v>10.756032000000008</v>
      </c>
      <c r="O68">
        <f t="shared" si="17"/>
        <v>0</v>
      </c>
      <c r="P68" t="str">
        <f t="shared" si="18"/>
        <v>✅ DENTRO</v>
      </c>
      <c r="Q68" t="str">
        <f t="shared" si="19"/>
        <v>✅ DENTRO</v>
      </c>
    </row>
    <row r="69" spans="1:17" x14ac:dyDescent="0.3">
      <c r="A69" t="str">
        <f t="shared" si="10"/>
        <v>SUB-014</v>
      </c>
      <c r="B69" t="str">
        <f>INDEX(Lotes!$A$2:$A$21,INT((ROW()-2)/5)+1)</f>
        <v>RETEX-2024-014</v>
      </c>
      <c r="C69" s="2">
        <f>INDEX(Lotes!$B$2:$B$21,INT((ROW()-2)/5)+1)</f>
        <v>46186</v>
      </c>
      <c r="D69">
        <f>INDEX(Lotes!$C$2:$C$21,INT((ROW()-2)/5)+1)</f>
        <v>24</v>
      </c>
      <c r="E69" t="str">
        <f>INDEX(Lotes!$F$2:$F$21,INT((ROW()-2)/5)+1)</f>
        <v>Vespertino</v>
      </c>
      <c r="F69">
        <f t="shared" si="11"/>
        <v>3</v>
      </c>
      <c r="G69">
        <v>192.52</v>
      </c>
      <c r="H69">
        <f>AVERAGE(INDEX($G$2:$G$101,INT((ROW()-2)/5)*5+1):INDEX($G$2:$G$101,INT((ROW()-2)/5)*5+5))</f>
        <v>193.60999999999999</v>
      </c>
      <c r="I69">
        <f>MAX(INDEX($G$2:$G$101,INT((ROW()-2)/5)*5+1):INDEX($G$2:$G$101,INT((ROW()-2)/5)*5+5))-MIN(INDEX($G$2:$G$101,INT((ROW()-2)/5)*5+1):INDEX($G$2:$G$101,INT((ROW()-2)/5)*5+5))</f>
        <v>7.3400000000000034</v>
      </c>
      <c r="J69">
        <f t="shared" si="12"/>
        <v>198.011976</v>
      </c>
      <c r="K69">
        <f t="shared" si="13"/>
        <v>192.140424</v>
      </c>
      <c r="L69">
        <f t="shared" si="14"/>
        <v>195.0762</v>
      </c>
      <c r="M69">
        <f t="shared" si="15"/>
        <v>5.0880000000000045</v>
      </c>
      <c r="N69">
        <f t="shared" si="16"/>
        <v>10.756032000000008</v>
      </c>
      <c r="O69">
        <f t="shared" si="17"/>
        <v>0</v>
      </c>
      <c r="P69" t="str">
        <f t="shared" si="18"/>
        <v>✅ DENTRO</v>
      </c>
      <c r="Q69" t="str">
        <f t="shared" si="19"/>
        <v>✅ DENTRO</v>
      </c>
    </row>
    <row r="70" spans="1:17" x14ac:dyDescent="0.3">
      <c r="A70" t="str">
        <f t="shared" si="10"/>
        <v>SUB-014</v>
      </c>
      <c r="B70" t="str">
        <f>INDEX(Lotes!$A$2:$A$21,INT((ROW()-2)/5)+1)</f>
        <v>RETEX-2024-014</v>
      </c>
      <c r="C70" s="2">
        <f>INDEX(Lotes!$B$2:$B$21,INT((ROW()-2)/5)+1)</f>
        <v>46186</v>
      </c>
      <c r="D70">
        <f>INDEX(Lotes!$C$2:$C$21,INT((ROW()-2)/5)+1)</f>
        <v>24</v>
      </c>
      <c r="E70" t="str">
        <f>INDEX(Lotes!$F$2:$F$21,INT((ROW()-2)/5)+1)</f>
        <v>Vespertino</v>
      </c>
      <c r="F70">
        <f t="shared" si="11"/>
        <v>4</v>
      </c>
      <c r="G70">
        <v>194.17</v>
      </c>
      <c r="H70">
        <f>AVERAGE(INDEX($G$2:$G$101,INT((ROW()-2)/5)*5+1):INDEX($G$2:$G$101,INT((ROW()-2)/5)*5+5))</f>
        <v>193.60999999999999</v>
      </c>
      <c r="I70">
        <f>MAX(INDEX($G$2:$G$101,INT((ROW()-2)/5)*5+1):INDEX($G$2:$G$101,INT((ROW()-2)/5)*5+5))-MIN(INDEX($G$2:$G$101,INT((ROW()-2)/5)*5+1):INDEX($G$2:$G$101,INT((ROW()-2)/5)*5+5))</f>
        <v>7.3400000000000034</v>
      </c>
      <c r="J70">
        <f t="shared" si="12"/>
        <v>198.011976</v>
      </c>
      <c r="K70">
        <f t="shared" si="13"/>
        <v>192.140424</v>
      </c>
      <c r="L70">
        <f t="shared" si="14"/>
        <v>195.0762</v>
      </c>
      <c r="M70">
        <f t="shared" si="15"/>
        <v>5.0880000000000045</v>
      </c>
      <c r="N70">
        <f t="shared" si="16"/>
        <v>10.756032000000008</v>
      </c>
      <c r="O70">
        <f t="shared" si="17"/>
        <v>0</v>
      </c>
      <c r="P70" t="str">
        <f t="shared" si="18"/>
        <v>✅ DENTRO</v>
      </c>
      <c r="Q70" t="str">
        <f t="shared" si="19"/>
        <v>✅ DENTRO</v>
      </c>
    </row>
    <row r="71" spans="1:17" x14ac:dyDescent="0.3">
      <c r="A71" t="str">
        <f t="shared" si="10"/>
        <v>SUB-014</v>
      </c>
      <c r="B71" t="str">
        <f>INDEX(Lotes!$A$2:$A$21,INT((ROW()-2)/5)+1)</f>
        <v>RETEX-2024-014</v>
      </c>
      <c r="C71" s="2">
        <f>INDEX(Lotes!$B$2:$B$21,INT((ROW()-2)/5)+1)</f>
        <v>46186</v>
      </c>
      <c r="D71">
        <f>INDEX(Lotes!$C$2:$C$21,INT((ROW()-2)/5)+1)</f>
        <v>24</v>
      </c>
      <c r="E71" t="str">
        <f>INDEX(Lotes!$F$2:$F$21,INT((ROW()-2)/5)+1)</f>
        <v>Vespertino</v>
      </c>
      <c r="F71">
        <f t="shared" si="11"/>
        <v>5</v>
      </c>
      <c r="G71">
        <v>197.34</v>
      </c>
      <c r="H71">
        <f>AVERAGE(INDEX($G$2:$G$101,INT((ROW()-2)/5)*5+1):INDEX($G$2:$G$101,INT((ROW()-2)/5)*5+5))</f>
        <v>193.60999999999999</v>
      </c>
      <c r="I71">
        <f>MAX(INDEX($G$2:$G$101,INT((ROW()-2)/5)*5+1):INDEX($G$2:$G$101,INT((ROW()-2)/5)*5+5))-MIN(INDEX($G$2:$G$101,INT((ROW()-2)/5)*5+1):INDEX($G$2:$G$101,INT((ROW()-2)/5)*5+5))</f>
        <v>7.3400000000000034</v>
      </c>
      <c r="J71">
        <f t="shared" si="12"/>
        <v>198.011976</v>
      </c>
      <c r="K71">
        <f t="shared" si="13"/>
        <v>192.140424</v>
      </c>
      <c r="L71">
        <f t="shared" si="14"/>
        <v>195.0762</v>
      </c>
      <c r="M71">
        <f t="shared" si="15"/>
        <v>5.0880000000000045</v>
      </c>
      <c r="N71">
        <f t="shared" si="16"/>
        <v>10.756032000000008</v>
      </c>
      <c r="O71">
        <f t="shared" si="17"/>
        <v>0</v>
      </c>
      <c r="P71" t="str">
        <f t="shared" si="18"/>
        <v>✅ DENTRO</v>
      </c>
      <c r="Q71" t="str">
        <f t="shared" si="19"/>
        <v>✅ DENTRO</v>
      </c>
    </row>
    <row r="72" spans="1:17" x14ac:dyDescent="0.3">
      <c r="A72" t="str">
        <f t="shared" si="10"/>
        <v>SUB-015</v>
      </c>
      <c r="B72" t="str">
        <f>INDEX(Lotes!$A$2:$A$21,INT((ROW()-2)/5)+1)</f>
        <v>RETEX-2024-015</v>
      </c>
      <c r="C72" s="2">
        <f>INDEX(Lotes!$B$2:$B$21,INT((ROW()-2)/5)+1)</f>
        <v>46193</v>
      </c>
      <c r="D72">
        <f>INDEX(Lotes!$C$2:$C$21,INT((ROW()-2)/5)+1)</f>
        <v>25</v>
      </c>
      <c r="E72" t="str">
        <f>INDEX(Lotes!$F$2:$F$21,INT((ROW()-2)/5)+1)</f>
        <v>Nocturno</v>
      </c>
      <c r="F72">
        <f t="shared" si="11"/>
        <v>1</v>
      </c>
      <c r="G72">
        <v>197.64</v>
      </c>
      <c r="H72">
        <f>AVERAGE(INDEX($G$2:$G$101,INT((ROW()-2)/5)*5+1):INDEX($G$2:$G$101,INT((ROW()-2)/5)*5+5))</f>
        <v>196.12200000000001</v>
      </c>
      <c r="I72">
        <f>MAX(INDEX($G$2:$G$101,INT((ROW()-2)/5)*5+1):INDEX($G$2:$G$101,INT((ROW()-2)/5)*5+5))-MIN(INDEX($G$2:$G$101,INT((ROW()-2)/5)*5+1):INDEX($G$2:$G$101,INT((ROW()-2)/5)*5+5))</f>
        <v>4.2600000000000193</v>
      </c>
      <c r="J72">
        <f t="shared" si="12"/>
        <v>198.011976</v>
      </c>
      <c r="K72">
        <f t="shared" si="13"/>
        <v>192.140424</v>
      </c>
      <c r="L72">
        <f t="shared" si="14"/>
        <v>195.0762</v>
      </c>
      <c r="M72">
        <f t="shared" si="15"/>
        <v>5.0880000000000045</v>
      </c>
      <c r="N72">
        <f t="shared" si="16"/>
        <v>10.756032000000008</v>
      </c>
      <c r="O72">
        <f t="shared" si="17"/>
        <v>0</v>
      </c>
      <c r="P72" t="str">
        <f t="shared" si="18"/>
        <v>✅ DENTRO</v>
      </c>
      <c r="Q72" t="str">
        <f t="shared" si="19"/>
        <v>✅ DENTRO</v>
      </c>
    </row>
    <row r="73" spans="1:17" x14ac:dyDescent="0.3">
      <c r="A73" t="str">
        <f t="shared" si="10"/>
        <v>SUB-015</v>
      </c>
      <c r="B73" t="str">
        <f>INDEX(Lotes!$A$2:$A$21,INT((ROW()-2)/5)+1)</f>
        <v>RETEX-2024-015</v>
      </c>
      <c r="C73" s="2">
        <f>INDEX(Lotes!$B$2:$B$21,INT((ROW()-2)/5)+1)</f>
        <v>46193</v>
      </c>
      <c r="D73">
        <f>INDEX(Lotes!$C$2:$C$21,INT((ROW()-2)/5)+1)</f>
        <v>25</v>
      </c>
      <c r="E73" t="str">
        <f>INDEX(Lotes!$F$2:$F$21,INT((ROW()-2)/5)+1)</f>
        <v>Nocturno</v>
      </c>
      <c r="F73">
        <f t="shared" si="11"/>
        <v>2</v>
      </c>
      <c r="G73">
        <v>194.7</v>
      </c>
      <c r="H73">
        <f>AVERAGE(INDEX($G$2:$G$101,INT((ROW()-2)/5)*5+1):INDEX($G$2:$G$101,INT((ROW()-2)/5)*5+5))</f>
        <v>196.12200000000001</v>
      </c>
      <c r="I73">
        <f>MAX(INDEX($G$2:$G$101,INT((ROW()-2)/5)*5+1):INDEX($G$2:$G$101,INT((ROW()-2)/5)*5+5))-MIN(INDEX($G$2:$G$101,INT((ROW()-2)/5)*5+1):INDEX($G$2:$G$101,INT((ROW()-2)/5)*5+5))</f>
        <v>4.2600000000000193</v>
      </c>
      <c r="J73">
        <f t="shared" si="12"/>
        <v>198.011976</v>
      </c>
      <c r="K73">
        <f t="shared" si="13"/>
        <v>192.140424</v>
      </c>
      <c r="L73">
        <f t="shared" si="14"/>
        <v>195.0762</v>
      </c>
      <c r="M73">
        <f t="shared" si="15"/>
        <v>5.0880000000000045</v>
      </c>
      <c r="N73">
        <f t="shared" si="16"/>
        <v>10.756032000000008</v>
      </c>
      <c r="O73">
        <f t="shared" si="17"/>
        <v>0</v>
      </c>
      <c r="P73" t="str">
        <f t="shared" si="18"/>
        <v>✅ DENTRO</v>
      </c>
      <c r="Q73" t="str">
        <f t="shared" si="19"/>
        <v>✅ DENTRO</v>
      </c>
    </row>
    <row r="74" spans="1:17" x14ac:dyDescent="0.3">
      <c r="A74" t="str">
        <f t="shared" si="10"/>
        <v>SUB-015</v>
      </c>
      <c r="B74" t="str">
        <f>INDEX(Lotes!$A$2:$A$21,INT((ROW()-2)/5)+1)</f>
        <v>RETEX-2024-015</v>
      </c>
      <c r="C74" s="2">
        <f>INDEX(Lotes!$B$2:$B$21,INT((ROW()-2)/5)+1)</f>
        <v>46193</v>
      </c>
      <c r="D74">
        <f>INDEX(Lotes!$C$2:$C$21,INT((ROW()-2)/5)+1)</f>
        <v>25</v>
      </c>
      <c r="E74" t="str">
        <f>INDEX(Lotes!$F$2:$F$21,INT((ROW()-2)/5)+1)</f>
        <v>Nocturno</v>
      </c>
      <c r="F74">
        <f t="shared" si="11"/>
        <v>3</v>
      </c>
      <c r="G74">
        <v>195.87</v>
      </c>
      <c r="H74">
        <f>AVERAGE(INDEX($G$2:$G$101,INT((ROW()-2)/5)*5+1):INDEX($G$2:$G$101,INT((ROW()-2)/5)*5+5))</f>
        <v>196.12200000000001</v>
      </c>
      <c r="I74">
        <f>MAX(INDEX($G$2:$G$101,INT((ROW()-2)/5)*5+1):INDEX($G$2:$G$101,INT((ROW()-2)/5)*5+5))-MIN(INDEX($G$2:$G$101,INT((ROW()-2)/5)*5+1):INDEX($G$2:$G$101,INT((ROW()-2)/5)*5+5))</f>
        <v>4.2600000000000193</v>
      </c>
      <c r="J74">
        <f t="shared" si="12"/>
        <v>198.011976</v>
      </c>
      <c r="K74">
        <f t="shared" si="13"/>
        <v>192.140424</v>
      </c>
      <c r="L74">
        <f t="shared" si="14"/>
        <v>195.0762</v>
      </c>
      <c r="M74">
        <f t="shared" si="15"/>
        <v>5.0880000000000045</v>
      </c>
      <c r="N74">
        <f t="shared" si="16"/>
        <v>10.756032000000008</v>
      </c>
      <c r="O74">
        <f t="shared" si="17"/>
        <v>0</v>
      </c>
      <c r="P74" t="str">
        <f t="shared" si="18"/>
        <v>✅ DENTRO</v>
      </c>
      <c r="Q74" t="str">
        <f t="shared" si="19"/>
        <v>✅ DENTRO</v>
      </c>
    </row>
    <row r="75" spans="1:17" x14ac:dyDescent="0.3">
      <c r="A75" t="str">
        <f t="shared" si="10"/>
        <v>SUB-015</v>
      </c>
      <c r="B75" t="str">
        <f>INDEX(Lotes!$A$2:$A$21,INT((ROW()-2)/5)+1)</f>
        <v>RETEX-2024-015</v>
      </c>
      <c r="C75" s="2">
        <f>INDEX(Lotes!$B$2:$B$21,INT((ROW()-2)/5)+1)</f>
        <v>46193</v>
      </c>
      <c r="D75">
        <f>INDEX(Lotes!$C$2:$C$21,INT((ROW()-2)/5)+1)</f>
        <v>25</v>
      </c>
      <c r="E75" t="str">
        <f>INDEX(Lotes!$F$2:$F$21,INT((ROW()-2)/5)+1)</f>
        <v>Nocturno</v>
      </c>
      <c r="F75">
        <f t="shared" si="11"/>
        <v>4</v>
      </c>
      <c r="G75">
        <v>194.07</v>
      </c>
      <c r="H75">
        <f>AVERAGE(INDEX($G$2:$G$101,INT((ROW()-2)/5)*5+1):INDEX($G$2:$G$101,INT((ROW()-2)/5)*5+5))</f>
        <v>196.12200000000001</v>
      </c>
      <c r="I75">
        <f>MAX(INDEX($G$2:$G$101,INT((ROW()-2)/5)*5+1):INDEX($G$2:$G$101,INT((ROW()-2)/5)*5+5))-MIN(INDEX($G$2:$G$101,INT((ROW()-2)/5)*5+1):INDEX($G$2:$G$101,INT((ROW()-2)/5)*5+5))</f>
        <v>4.2600000000000193</v>
      </c>
      <c r="J75">
        <f t="shared" si="12"/>
        <v>198.011976</v>
      </c>
      <c r="K75">
        <f t="shared" si="13"/>
        <v>192.140424</v>
      </c>
      <c r="L75">
        <f t="shared" si="14"/>
        <v>195.0762</v>
      </c>
      <c r="M75">
        <f t="shared" si="15"/>
        <v>5.0880000000000045</v>
      </c>
      <c r="N75">
        <f t="shared" si="16"/>
        <v>10.756032000000008</v>
      </c>
      <c r="O75">
        <f t="shared" si="17"/>
        <v>0</v>
      </c>
      <c r="P75" t="str">
        <f t="shared" si="18"/>
        <v>✅ DENTRO</v>
      </c>
      <c r="Q75" t="str">
        <f t="shared" si="19"/>
        <v>✅ DENTRO</v>
      </c>
    </row>
    <row r="76" spans="1:17" x14ac:dyDescent="0.3">
      <c r="A76" t="str">
        <f t="shared" si="10"/>
        <v>SUB-015</v>
      </c>
      <c r="B76" t="str">
        <f>INDEX(Lotes!$A$2:$A$21,INT((ROW()-2)/5)+1)</f>
        <v>RETEX-2024-015</v>
      </c>
      <c r="C76" s="2">
        <f>INDEX(Lotes!$B$2:$B$21,INT((ROW()-2)/5)+1)</f>
        <v>46193</v>
      </c>
      <c r="D76">
        <f>INDEX(Lotes!$C$2:$C$21,INT((ROW()-2)/5)+1)</f>
        <v>25</v>
      </c>
      <c r="E76" t="str">
        <f>INDEX(Lotes!$F$2:$F$21,INT((ROW()-2)/5)+1)</f>
        <v>Nocturno</v>
      </c>
      <c r="F76">
        <f t="shared" si="11"/>
        <v>5</v>
      </c>
      <c r="G76">
        <v>198.33</v>
      </c>
      <c r="H76">
        <f>AVERAGE(INDEX($G$2:$G$101,INT((ROW()-2)/5)*5+1):INDEX($G$2:$G$101,INT((ROW()-2)/5)*5+5))</f>
        <v>196.12200000000001</v>
      </c>
      <c r="I76">
        <f>MAX(INDEX($G$2:$G$101,INT((ROW()-2)/5)*5+1):INDEX($G$2:$G$101,INT((ROW()-2)/5)*5+5))-MIN(INDEX($G$2:$G$101,INT((ROW()-2)/5)*5+1):INDEX($G$2:$G$101,INT((ROW()-2)/5)*5+5))</f>
        <v>4.2600000000000193</v>
      </c>
      <c r="J76">
        <f t="shared" si="12"/>
        <v>198.011976</v>
      </c>
      <c r="K76">
        <f t="shared" si="13"/>
        <v>192.140424</v>
      </c>
      <c r="L76">
        <f t="shared" si="14"/>
        <v>195.0762</v>
      </c>
      <c r="M76">
        <f t="shared" si="15"/>
        <v>5.0880000000000045</v>
      </c>
      <c r="N76">
        <f t="shared" si="16"/>
        <v>10.756032000000008</v>
      </c>
      <c r="O76">
        <f t="shared" si="17"/>
        <v>0</v>
      </c>
      <c r="P76" t="str">
        <f t="shared" si="18"/>
        <v>✅ DENTRO</v>
      </c>
      <c r="Q76" t="str">
        <f t="shared" si="19"/>
        <v>✅ DENTRO</v>
      </c>
    </row>
    <row r="77" spans="1:17" x14ac:dyDescent="0.3">
      <c r="A77" t="str">
        <f t="shared" si="10"/>
        <v>SUB-016</v>
      </c>
      <c r="B77" t="str">
        <f>INDEX(Lotes!$A$2:$A$21,INT((ROW()-2)/5)+1)</f>
        <v>RETEX-2024-016</v>
      </c>
      <c r="C77" s="2">
        <f>INDEX(Lotes!$B$2:$B$21,INT((ROW()-2)/5)+1)</f>
        <v>46200</v>
      </c>
      <c r="D77">
        <f>INDEX(Lotes!$C$2:$C$21,INT((ROW()-2)/5)+1)</f>
        <v>26</v>
      </c>
      <c r="E77" t="str">
        <f>INDEX(Lotes!$F$2:$F$21,INT((ROW()-2)/5)+1)</f>
        <v>Matutino</v>
      </c>
      <c r="F77">
        <f t="shared" si="11"/>
        <v>1</v>
      </c>
      <c r="G77">
        <v>196.64</v>
      </c>
      <c r="H77">
        <f>AVERAGE(INDEX($G$2:$G$101,INT((ROW()-2)/5)*5+1):INDEX($G$2:$G$101,INT((ROW()-2)/5)*5+5))</f>
        <v>195.42200000000003</v>
      </c>
      <c r="I77">
        <f>MAX(INDEX($G$2:$G$101,INT((ROW()-2)/5)*5+1):INDEX($G$2:$G$101,INT((ROW()-2)/5)*5+5))-MIN(INDEX($G$2:$G$101,INT((ROW()-2)/5)*5+1):INDEX($G$2:$G$101,INT((ROW()-2)/5)*5+5))</f>
        <v>7.8400000000000034</v>
      </c>
      <c r="J77">
        <f t="shared" si="12"/>
        <v>198.011976</v>
      </c>
      <c r="K77">
        <f t="shared" si="13"/>
        <v>192.140424</v>
      </c>
      <c r="L77">
        <f t="shared" si="14"/>
        <v>195.0762</v>
      </c>
      <c r="M77">
        <f t="shared" si="15"/>
        <v>5.0880000000000045</v>
      </c>
      <c r="N77">
        <f t="shared" si="16"/>
        <v>10.756032000000008</v>
      </c>
      <c r="O77">
        <f t="shared" si="17"/>
        <v>0</v>
      </c>
      <c r="P77" t="str">
        <f t="shared" si="18"/>
        <v>✅ DENTRO</v>
      </c>
      <c r="Q77" t="str">
        <f t="shared" si="19"/>
        <v>✅ DENTRO</v>
      </c>
    </row>
    <row r="78" spans="1:17" x14ac:dyDescent="0.3">
      <c r="A78" t="str">
        <f t="shared" si="10"/>
        <v>SUB-016</v>
      </c>
      <c r="B78" t="str">
        <f>INDEX(Lotes!$A$2:$A$21,INT((ROW()-2)/5)+1)</f>
        <v>RETEX-2024-016</v>
      </c>
      <c r="C78" s="2">
        <f>INDEX(Lotes!$B$2:$B$21,INT((ROW()-2)/5)+1)</f>
        <v>46200</v>
      </c>
      <c r="D78">
        <f>INDEX(Lotes!$C$2:$C$21,INT((ROW()-2)/5)+1)</f>
        <v>26</v>
      </c>
      <c r="E78" t="str">
        <f>INDEX(Lotes!$F$2:$F$21,INT((ROW()-2)/5)+1)</f>
        <v>Matutino</v>
      </c>
      <c r="F78">
        <f t="shared" si="11"/>
        <v>2</v>
      </c>
      <c r="G78">
        <v>196.08</v>
      </c>
      <c r="H78">
        <f>AVERAGE(INDEX($G$2:$G$101,INT((ROW()-2)/5)*5+1):INDEX($G$2:$G$101,INT((ROW()-2)/5)*5+5))</f>
        <v>195.42200000000003</v>
      </c>
      <c r="I78">
        <f>MAX(INDEX($G$2:$G$101,INT((ROW()-2)/5)*5+1):INDEX($G$2:$G$101,INT((ROW()-2)/5)*5+5))-MIN(INDEX($G$2:$G$101,INT((ROW()-2)/5)*5+1):INDEX($G$2:$G$101,INT((ROW()-2)/5)*5+5))</f>
        <v>7.8400000000000034</v>
      </c>
      <c r="J78">
        <f t="shared" si="12"/>
        <v>198.011976</v>
      </c>
      <c r="K78">
        <f t="shared" si="13"/>
        <v>192.140424</v>
      </c>
      <c r="L78">
        <f t="shared" si="14"/>
        <v>195.0762</v>
      </c>
      <c r="M78">
        <f t="shared" si="15"/>
        <v>5.0880000000000045</v>
      </c>
      <c r="N78">
        <f t="shared" si="16"/>
        <v>10.756032000000008</v>
      </c>
      <c r="O78">
        <f t="shared" si="17"/>
        <v>0</v>
      </c>
      <c r="P78" t="str">
        <f t="shared" si="18"/>
        <v>✅ DENTRO</v>
      </c>
      <c r="Q78" t="str">
        <f t="shared" si="19"/>
        <v>✅ DENTRO</v>
      </c>
    </row>
    <row r="79" spans="1:17" x14ac:dyDescent="0.3">
      <c r="A79" t="str">
        <f t="shared" si="10"/>
        <v>SUB-016</v>
      </c>
      <c r="B79" t="str">
        <f>INDEX(Lotes!$A$2:$A$21,INT((ROW()-2)/5)+1)</f>
        <v>RETEX-2024-016</v>
      </c>
      <c r="C79" s="2">
        <f>INDEX(Lotes!$B$2:$B$21,INT((ROW()-2)/5)+1)</f>
        <v>46200</v>
      </c>
      <c r="D79">
        <f>INDEX(Lotes!$C$2:$C$21,INT((ROW()-2)/5)+1)</f>
        <v>26</v>
      </c>
      <c r="E79" t="str">
        <f>INDEX(Lotes!$F$2:$F$21,INT((ROW()-2)/5)+1)</f>
        <v>Matutino</v>
      </c>
      <c r="F79">
        <f t="shared" si="11"/>
        <v>3</v>
      </c>
      <c r="G79">
        <v>190.47</v>
      </c>
      <c r="H79">
        <f>AVERAGE(INDEX($G$2:$G$101,INT((ROW()-2)/5)*5+1):INDEX($G$2:$G$101,INT((ROW()-2)/5)*5+5))</f>
        <v>195.42200000000003</v>
      </c>
      <c r="I79">
        <f>MAX(INDEX($G$2:$G$101,INT((ROW()-2)/5)*5+1):INDEX($G$2:$G$101,INT((ROW()-2)/5)*5+5))-MIN(INDEX($G$2:$G$101,INT((ROW()-2)/5)*5+1):INDEX($G$2:$G$101,INT((ROW()-2)/5)*5+5))</f>
        <v>7.8400000000000034</v>
      </c>
      <c r="J79">
        <f t="shared" si="12"/>
        <v>198.011976</v>
      </c>
      <c r="K79">
        <f t="shared" si="13"/>
        <v>192.140424</v>
      </c>
      <c r="L79">
        <f t="shared" si="14"/>
        <v>195.0762</v>
      </c>
      <c r="M79">
        <f t="shared" si="15"/>
        <v>5.0880000000000045</v>
      </c>
      <c r="N79">
        <f t="shared" si="16"/>
        <v>10.756032000000008</v>
      </c>
      <c r="O79">
        <f t="shared" si="17"/>
        <v>0</v>
      </c>
      <c r="P79" t="str">
        <f t="shared" si="18"/>
        <v>✅ DENTRO</v>
      </c>
      <c r="Q79" t="str">
        <f t="shared" si="19"/>
        <v>✅ DENTRO</v>
      </c>
    </row>
    <row r="80" spans="1:17" x14ac:dyDescent="0.3">
      <c r="A80" t="str">
        <f t="shared" si="10"/>
        <v>SUB-016</v>
      </c>
      <c r="B80" t="str">
        <f>INDEX(Lotes!$A$2:$A$21,INT((ROW()-2)/5)+1)</f>
        <v>RETEX-2024-016</v>
      </c>
      <c r="C80" s="2">
        <f>INDEX(Lotes!$B$2:$B$21,INT((ROW()-2)/5)+1)</f>
        <v>46200</v>
      </c>
      <c r="D80">
        <f>INDEX(Lotes!$C$2:$C$21,INT((ROW()-2)/5)+1)</f>
        <v>26</v>
      </c>
      <c r="E80" t="str">
        <f>INDEX(Lotes!$F$2:$F$21,INT((ROW()-2)/5)+1)</f>
        <v>Matutino</v>
      </c>
      <c r="F80">
        <f t="shared" si="11"/>
        <v>4</v>
      </c>
      <c r="G80">
        <v>195.61</v>
      </c>
      <c r="H80">
        <f>AVERAGE(INDEX($G$2:$G$101,INT((ROW()-2)/5)*5+1):INDEX($G$2:$G$101,INT((ROW()-2)/5)*5+5))</f>
        <v>195.42200000000003</v>
      </c>
      <c r="I80">
        <f>MAX(INDEX($G$2:$G$101,INT((ROW()-2)/5)*5+1):INDEX($G$2:$G$101,INT((ROW()-2)/5)*5+5))-MIN(INDEX($G$2:$G$101,INT((ROW()-2)/5)*5+1):INDEX($G$2:$G$101,INT((ROW()-2)/5)*5+5))</f>
        <v>7.8400000000000034</v>
      </c>
      <c r="J80">
        <f t="shared" si="12"/>
        <v>198.011976</v>
      </c>
      <c r="K80">
        <f t="shared" si="13"/>
        <v>192.140424</v>
      </c>
      <c r="L80">
        <f t="shared" si="14"/>
        <v>195.0762</v>
      </c>
      <c r="M80">
        <f t="shared" si="15"/>
        <v>5.0880000000000045</v>
      </c>
      <c r="N80">
        <f t="shared" si="16"/>
        <v>10.756032000000008</v>
      </c>
      <c r="O80">
        <f t="shared" si="17"/>
        <v>0</v>
      </c>
      <c r="P80" t="str">
        <f t="shared" si="18"/>
        <v>✅ DENTRO</v>
      </c>
      <c r="Q80" t="str">
        <f t="shared" si="19"/>
        <v>✅ DENTRO</v>
      </c>
    </row>
    <row r="81" spans="1:17" x14ac:dyDescent="0.3">
      <c r="A81" t="str">
        <f t="shared" si="10"/>
        <v>SUB-016</v>
      </c>
      <c r="B81" t="str">
        <f>INDEX(Lotes!$A$2:$A$21,INT((ROW()-2)/5)+1)</f>
        <v>RETEX-2024-016</v>
      </c>
      <c r="C81" s="2">
        <f>INDEX(Lotes!$B$2:$B$21,INT((ROW()-2)/5)+1)</f>
        <v>46200</v>
      </c>
      <c r="D81">
        <f>INDEX(Lotes!$C$2:$C$21,INT((ROW()-2)/5)+1)</f>
        <v>26</v>
      </c>
      <c r="E81" t="str">
        <f>INDEX(Lotes!$F$2:$F$21,INT((ROW()-2)/5)+1)</f>
        <v>Matutino</v>
      </c>
      <c r="F81">
        <f t="shared" si="11"/>
        <v>5</v>
      </c>
      <c r="G81">
        <v>198.31</v>
      </c>
      <c r="H81">
        <f>AVERAGE(INDEX($G$2:$G$101,INT((ROW()-2)/5)*5+1):INDEX($G$2:$G$101,INT((ROW()-2)/5)*5+5))</f>
        <v>195.42200000000003</v>
      </c>
      <c r="I81">
        <f>MAX(INDEX($G$2:$G$101,INT((ROW()-2)/5)*5+1):INDEX($G$2:$G$101,INT((ROW()-2)/5)*5+5))-MIN(INDEX($G$2:$G$101,INT((ROW()-2)/5)*5+1):INDEX($G$2:$G$101,INT((ROW()-2)/5)*5+5))</f>
        <v>7.8400000000000034</v>
      </c>
      <c r="J81">
        <f t="shared" si="12"/>
        <v>198.011976</v>
      </c>
      <c r="K81">
        <f t="shared" si="13"/>
        <v>192.140424</v>
      </c>
      <c r="L81">
        <f t="shared" si="14"/>
        <v>195.0762</v>
      </c>
      <c r="M81">
        <f t="shared" si="15"/>
        <v>5.0880000000000045</v>
      </c>
      <c r="N81">
        <f t="shared" si="16"/>
        <v>10.756032000000008</v>
      </c>
      <c r="O81">
        <f t="shared" si="17"/>
        <v>0</v>
      </c>
      <c r="P81" t="str">
        <f t="shared" si="18"/>
        <v>✅ DENTRO</v>
      </c>
      <c r="Q81" t="str">
        <f t="shared" si="19"/>
        <v>✅ DENTRO</v>
      </c>
    </row>
    <row r="82" spans="1:17" x14ac:dyDescent="0.3">
      <c r="A82" t="str">
        <f t="shared" si="10"/>
        <v>SUB-017</v>
      </c>
      <c r="B82" t="str">
        <f>INDEX(Lotes!$A$2:$A$21,INT((ROW()-2)/5)+1)</f>
        <v>RETEX-2024-017</v>
      </c>
      <c r="C82" s="2">
        <f>INDEX(Lotes!$B$2:$B$21,INT((ROW()-2)/5)+1)</f>
        <v>46207</v>
      </c>
      <c r="D82">
        <f>INDEX(Lotes!$C$2:$C$21,INT((ROW()-2)/5)+1)</f>
        <v>27</v>
      </c>
      <c r="E82" t="str">
        <f>INDEX(Lotes!$F$2:$F$21,INT((ROW()-2)/5)+1)</f>
        <v>Vespertino</v>
      </c>
      <c r="F82">
        <f t="shared" si="11"/>
        <v>1</v>
      </c>
      <c r="G82">
        <v>198.24</v>
      </c>
      <c r="H82">
        <f>AVERAGE(INDEX($G$2:$G$101,INT((ROW()-2)/5)*5+1):INDEX($G$2:$G$101,INT((ROW()-2)/5)*5+5))</f>
        <v>194.774</v>
      </c>
      <c r="I82">
        <f>MAX(INDEX($G$2:$G$101,INT((ROW()-2)/5)*5+1):INDEX($G$2:$G$101,INT((ROW()-2)/5)*5+5))-MIN(INDEX($G$2:$G$101,INT((ROW()-2)/5)*5+1):INDEX($G$2:$G$101,INT((ROW()-2)/5)*5+5))</f>
        <v>6.9900000000000091</v>
      </c>
      <c r="J82">
        <f t="shared" si="12"/>
        <v>198.011976</v>
      </c>
      <c r="K82">
        <f t="shared" si="13"/>
        <v>192.140424</v>
      </c>
      <c r="L82">
        <f t="shared" si="14"/>
        <v>195.0762</v>
      </c>
      <c r="M82">
        <f t="shared" si="15"/>
        <v>5.0880000000000045</v>
      </c>
      <c r="N82">
        <f t="shared" si="16"/>
        <v>10.756032000000008</v>
      </c>
      <c r="O82">
        <f t="shared" si="17"/>
        <v>0</v>
      </c>
      <c r="P82" t="str">
        <f t="shared" si="18"/>
        <v>✅ DENTRO</v>
      </c>
      <c r="Q82" t="str">
        <f t="shared" si="19"/>
        <v>✅ DENTRO</v>
      </c>
    </row>
    <row r="83" spans="1:17" x14ac:dyDescent="0.3">
      <c r="A83" t="str">
        <f t="shared" si="10"/>
        <v>SUB-017</v>
      </c>
      <c r="B83" t="str">
        <f>INDEX(Lotes!$A$2:$A$21,INT((ROW()-2)/5)+1)</f>
        <v>RETEX-2024-017</v>
      </c>
      <c r="C83" s="2">
        <f>INDEX(Lotes!$B$2:$B$21,INT((ROW()-2)/5)+1)</f>
        <v>46207</v>
      </c>
      <c r="D83">
        <f>INDEX(Lotes!$C$2:$C$21,INT((ROW()-2)/5)+1)</f>
        <v>27</v>
      </c>
      <c r="E83" t="str">
        <f>INDEX(Lotes!$F$2:$F$21,INT((ROW()-2)/5)+1)</f>
        <v>Vespertino</v>
      </c>
      <c r="F83">
        <f t="shared" si="11"/>
        <v>2</v>
      </c>
      <c r="G83">
        <v>194.5</v>
      </c>
      <c r="H83">
        <f>AVERAGE(INDEX($G$2:$G$101,INT((ROW()-2)/5)*5+1):INDEX($G$2:$G$101,INT((ROW()-2)/5)*5+5))</f>
        <v>194.774</v>
      </c>
      <c r="I83">
        <f>MAX(INDEX($G$2:$G$101,INT((ROW()-2)/5)*5+1):INDEX($G$2:$G$101,INT((ROW()-2)/5)*5+5))-MIN(INDEX($G$2:$G$101,INT((ROW()-2)/5)*5+1):INDEX($G$2:$G$101,INT((ROW()-2)/5)*5+5))</f>
        <v>6.9900000000000091</v>
      </c>
      <c r="J83">
        <f t="shared" si="12"/>
        <v>198.011976</v>
      </c>
      <c r="K83">
        <f t="shared" si="13"/>
        <v>192.140424</v>
      </c>
      <c r="L83">
        <f t="shared" si="14"/>
        <v>195.0762</v>
      </c>
      <c r="M83">
        <f t="shared" si="15"/>
        <v>5.0880000000000045</v>
      </c>
      <c r="N83">
        <f t="shared" si="16"/>
        <v>10.756032000000008</v>
      </c>
      <c r="O83">
        <f t="shared" si="17"/>
        <v>0</v>
      </c>
      <c r="P83" t="str">
        <f t="shared" si="18"/>
        <v>✅ DENTRO</v>
      </c>
      <c r="Q83" t="str">
        <f t="shared" si="19"/>
        <v>✅ DENTRO</v>
      </c>
    </row>
    <row r="84" spans="1:17" x14ac:dyDescent="0.3">
      <c r="A84" t="str">
        <f t="shared" si="10"/>
        <v>SUB-017</v>
      </c>
      <c r="B84" t="str">
        <f>INDEX(Lotes!$A$2:$A$21,INT((ROW()-2)/5)+1)</f>
        <v>RETEX-2024-017</v>
      </c>
      <c r="C84" s="2">
        <f>INDEX(Lotes!$B$2:$B$21,INT((ROW()-2)/5)+1)</f>
        <v>46207</v>
      </c>
      <c r="D84">
        <f>INDEX(Lotes!$C$2:$C$21,INT((ROW()-2)/5)+1)</f>
        <v>27</v>
      </c>
      <c r="E84" t="str">
        <f>INDEX(Lotes!$F$2:$F$21,INT((ROW()-2)/5)+1)</f>
        <v>Vespertino</v>
      </c>
      <c r="F84">
        <f t="shared" si="11"/>
        <v>3</v>
      </c>
      <c r="G84">
        <v>194.4</v>
      </c>
      <c r="H84">
        <f>AVERAGE(INDEX($G$2:$G$101,INT((ROW()-2)/5)*5+1):INDEX($G$2:$G$101,INT((ROW()-2)/5)*5+5))</f>
        <v>194.774</v>
      </c>
      <c r="I84">
        <f>MAX(INDEX($G$2:$G$101,INT((ROW()-2)/5)*5+1):INDEX($G$2:$G$101,INT((ROW()-2)/5)*5+5))-MIN(INDEX($G$2:$G$101,INT((ROW()-2)/5)*5+1):INDEX($G$2:$G$101,INT((ROW()-2)/5)*5+5))</f>
        <v>6.9900000000000091</v>
      </c>
      <c r="J84">
        <f t="shared" si="12"/>
        <v>198.011976</v>
      </c>
      <c r="K84">
        <f t="shared" si="13"/>
        <v>192.140424</v>
      </c>
      <c r="L84">
        <f t="shared" si="14"/>
        <v>195.0762</v>
      </c>
      <c r="M84">
        <f t="shared" si="15"/>
        <v>5.0880000000000045</v>
      </c>
      <c r="N84">
        <f t="shared" si="16"/>
        <v>10.756032000000008</v>
      </c>
      <c r="O84">
        <f t="shared" si="17"/>
        <v>0</v>
      </c>
      <c r="P84" t="str">
        <f t="shared" si="18"/>
        <v>✅ DENTRO</v>
      </c>
      <c r="Q84" t="str">
        <f t="shared" si="19"/>
        <v>✅ DENTRO</v>
      </c>
    </row>
    <row r="85" spans="1:17" x14ac:dyDescent="0.3">
      <c r="A85" t="str">
        <f t="shared" si="10"/>
        <v>SUB-017</v>
      </c>
      <c r="B85" t="str">
        <f>INDEX(Lotes!$A$2:$A$21,INT((ROW()-2)/5)+1)</f>
        <v>RETEX-2024-017</v>
      </c>
      <c r="C85" s="2">
        <f>INDEX(Lotes!$B$2:$B$21,INT((ROW()-2)/5)+1)</f>
        <v>46207</v>
      </c>
      <c r="D85">
        <f>INDEX(Lotes!$C$2:$C$21,INT((ROW()-2)/5)+1)</f>
        <v>27</v>
      </c>
      <c r="E85" t="str">
        <f>INDEX(Lotes!$F$2:$F$21,INT((ROW()-2)/5)+1)</f>
        <v>Vespertino</v>
      </c>
      <c r="F85">
        <f t="shared" si="11"/>
        <v>4</v>
      </c>
      <c r="G85">
        <v>191.25</v>
      </c>
      <c r="H85">
        <f>AVERAGE(INDEX($G$2:$G$101,INT((ROW()-2)/5)*5+1):INDEX($G$2:$G$101,INT((ROW()-2)/5)*5+5))</f>
        <v>194.774</v>
      </c>
      <c r="I85">
        <f>MAX(INDEX($G$2:$G$101,INT((ROW()-2)/5)*5+1):INDEX($G$2:$G$101,INT((ROW()-2)/5)*5+5))-MIN(INDEX($G$2:$G$101,INT((ROW()-2)/5)*5+1):INDEX($G$2:$G$101,INT((ROW()-2)/5)*5+5))</f>
        <v>6.9900000000000091</v>
      </c>
      <c r="J85">
        <f t="shared" si="12"/>
        <v>198.011976</v>
      </c>
      <c r="K85">
        <f t="shared" si="13"/>
        <v>192.140424</v>
      </c>
      <c r="L85">
        <f t="shared" si="14"/>
        <v>195.0762</v>
      </c>
      <c r="M85">
        <f t="shared" si="15"/>
        <v>5.0880000000000045</v>
      </c>
      <c r="N85">
        <f t="shared" si="16"/>
        <v>10.756032000000008</v>
      </c>
      <c r="O85">
        <f t="shared" si="17"/>
        <v>0</v>
      </c>
      <c r="P85" t="str">
        <f t="shared" si="18"/>
        <v>✅ DENTRO</v>
      </c>
      <c r="Q85" t="str">
        <f t="shared" si="19"/>
        <v>✅ DENTRO</v>
      </c>
    </row>
    <row r="86" spans="1:17" x14ac:dyDescent="0.3">
      <c r="A86" t="str">
        <f t="shared" si="10"/>
        <v>SUB-017</v>
      </c>
      <c r="B86" t="str">
        <f>INDEX(Lotes!$A$2:$A$21,INT((ROW()-2)/5)+1)</f>
        <v>RETEX-2024-017</v>
      </c>
      <c r="C86" s="2">
        <f>INDEX(Lotes!$B$2:$B$21,INT((ROW()-2)/5)+1)</f>
        <v>46207</v>
      </c>
      <c r="D86">
        <f>INDEX(Lotes!$C$2:$C$21,INT((ROW()-2)/5)+1)</f>
        <v>27</v>
      </c>
      <c r="E86" t="str">
        <f>INDEX(Lotes!$F$2:$F$21,INT((ROW()-2)/5)+1)</f>
        <v>Vespertino</v>
      </c>
      <c r="F86">
        <f t="shared" si="11"/>
        <v>5</v>
      </c>
      <c r="G86">
        <v>195.48</v>
      </c>
      <c r="H86">
        <f>AVERAGE(INDEX($G$2:$G$101,INT((ROW()-2)/5)*5+1):INDEX($G$2:$G$101,INT((ROW()-2)/5)*5+5))</f>
        <v>194.774</v>
      </c>
      <c r="I86">
        <f>MAX(INDEX($G$2:$G$101,INT((ROW()-2)/5)*5+1):INDEX($G$2:$G$101,INT((ROW()-2)/5)*5+5))-MIN(INDEX($G$2:$G$101,INT((ROW()-2)/5)*5+1):INDEX($G$2:$G$101,INT((ROW()-2)/5)*5+5))</f>
        <v>6.9900000000000091</v>
      </c>
      <c r="J86">
        <f t="shared" si="12"/>
        <v>198.011976</v>
      </c>
      <c r="K86">
        <f t="shared" si="13"/>
        <v>192.140424</v>
      </c>
      <c r="L86">
        <f t="shared" si="14"/>
        <v>195.0762</v>
      </c>
      <c r="M86">
        <f t="shared" si="15"/>
        <v>5.0880000000000045</v>
      </c>
      <c r="N86">
        <f t="shared" si="16"/>
        <v>10.756032000000008</v>
      </c>
      <c r="O86">
        <f t="shared" si="17"/>
        <v>0</v>
      </c>
      <c r="P86" t="str">
        <f t="shared" si="18"/>
        <v>✅ DENTRO</v>
      </c>
      <c r="Q86" t="str">
        <f t="shared" si="19"/>
        <v>✅ DENTRO</v>
      </c>
    </row>
    <row r="87" spans="1:17" x14ac:dyDescent="0.3">
      <c r="A87" t="str">
        <f t="shared" si="10"/>
        <v>SUB-018</v>
      </c>
      <c r="B87" t="str">
        <f>INDEX(Lotes!$A$2:$A$21,INT((ROW()-2)/5)+1)</f>
        <v>RETEX-2024-018</v>
      </c>
      <c r="C87" s="2">
        <f>INDEX(Lotes!$B$2:$B$21,INT((ROW()-2)/5)+1)</f>
        <v>46214</v>
      </c>
      <c r="D87">
        <f>INDEX(Lotes!$C$2:$C$21,INT((ROW()-2)/5)+1)</f>
        <v>28</v>
      </c>
      <c r="E87" t="str">
        <f>INDEX(Lotes!$F$2:$F$21,INT((ROW()-2)/5)+1)</f>
        <v>Nocturno</v>
      </c>
      <c r="F87">
        <f t="shared" si="11"/>
        <v>1</v>
      </c>
      <c r="G87">
        <v>195.61</v>
      </c>
      <c r="H87">
        <f>AVERAGE(INDEX($G$2:$G$101,INT((ROW()-2)/5)*5+1):INDEX($G$2:$G$101,INT((ROW()-2)/5)*5+5))</f>
        <v>195.196</v>
      </c>
      <c r="I87">
        <f>MAX(INDEX($G$2:$G$101,INT((ROW()-2)/5)*5+1):INDEX($G$2:$G$101,INT((ROW()-2)/5)*5+5))-MIN(INDEX($G$2:$G$101,INT((ROW()-2)/5)*5+1):INDEX($G$2:$G$101,INT((ROW()-2)/5)*5+5))</f>
        <v>3.6899999999999977</v>
      </c>
      <c r="J87">
        <f t="shared" si="12"/>
        <v>198.011976</v>
      </c>
      <c r="K87">
        <f t="shared" si="13"/>
        <v>192.140424</v>
      </c>
      <c r="L87">
        <f t="shared" si="14"/>
        <v>195.0762</v>
      </c>
      <c r="M87">
        <f t="shared" si="15"/>
        <v>5.0880000000000045</v>
      </c>
      <c r="N87">
        <f t="shared" si="16"/>
        <v>10.756032000000008</v>
      </c>
      <c r="O87">
        <f t="shared" si="17"/>
        <v>0</v>
      </c>
      <c r="P87" t="str">
        <f t="shared" si="18"/>
        <v>✅ DENTRO</v>
      </c>
      <c r="Q87" t="str">
        <f t="shared" si="19"/>
        <v>✅ DENTRO</v>
      </c>
    </row>
    <row r="88" spans="1:17" x14ac:dyDescent="0.3">
      <c r="A88" t="str">
        <f t="shared" si="10"/>
        <v>SUB-018</v>
      </c>
      <c r="B88" t="str">
        <f>INDEX(Lotes!$A$2:$A$21,INT((ROW()-2)/5)+1)</f>
        <v>RETEX-2024-018</v>
      </c>
      <c r="C88" s="2">
        <f>INDEX(Lotes!$B$2:$B$21,INT((ROW()-2)/5)+1)</f>
        <v>46214</v>
      </c>
      <c r="D88">
        <f>INDEX(Lotes!$C$2:$C$21,INT((ROW()-2)/5)+1)</f>
        <v>28</v>
      </c>
      <c r="E88" t="str">
        <f>INDEX(Lotes!$F$2:$F$21,INT((ROW()-2)/5)+1)</f>
        <v>Nocturno</v>
      </c>
      <c r="F88">
        <f t="shared" si="11"/>
        <v>2</v>
      </c>
      <c r="G88">
        <v>193.46</v>
      </c>
      <c r="H88">
        <f>AVERAGE(INDEX($G$2:$G$101,INT((ROW()-2)/5)*5+1):INDEX($G$2:$G$101,INT((ROW()-2)/5)*5+5))</f>
        <v>195.196</v>
      </c>
      <c r="I88">
        <f>MAX(INDEX($G$2:$G$101,INT((ROW()-2)/5)*5+1):INDEX($G$2:$G$101,INT((ROW()-2)/5)*5+5))-MIN(INDEX($G$2:$G$101,INT((ROW()-2)/5)*5+1):INDEX($G$2:$G$101,INT((ROW()-2)/5)*5+5))</f>
        <v>3.6899999999999977</v>
      </c>
      <c r="J88">
        <f t="shared" si="12"/>
        <v>198.011976</v>
      </c>
      <c r="K88">
        <f t="shared" si="13"/>
        <v>192.140424</v>
      </c>
      <c r="L88">
        <f t="shared" si="14"/>
        <v>195.0762</v>
      </c>
      <c r="M88">
        <f t="shared" si="15"/>
        <v>5.0880000000000045</v>
      </c>
      <c r="N88">
        <f t="shared" si="16"/>
        <v>10.756032000000008</v>
      </c>
      <c r="O88">
        <f t="shared" si="17"/>
        <v>0</v>
      </c>
      <c r="P88" t="str">
        <f t="shared" si="18"/>
        <v>✅ DENTRO</v>
      </c>
      <c r="Q88" t="str">
        <f t="shared" si="19"/>
        <v>✅ DENTRO</v>
      </c>
    </row>
    <row r="89" spans="1:17" x14ac:dyDescent="0.3">
      <c r="A89" t="str">
        <f t="shared" si="10"/>
        <v>SUB-018</v>
      </c>
      <c r="B89" t="str">
        <f>INDEX(Lotes!$A$2:$A$21,INT((ROW()-2)/5)+1)</f>
        <v>RETEX-2024-018</v>
      </c>
      <c r="C89" s="2">
        <f>INDEX(Lotes!$B$2:$B$21,INT((ROW()-2)/5)+1)</f>
        <v>46214</v>
      </c>
      <c r="D89">
        <f>INDEX(Lotes!$C$2:$C$21,INT((ROW()-2)/5)+1)</f>
        <v>28</v>
      </c>
      <c r="E89" t="str">
        <f>INDEX(Lotes!$F$2:$F$21,INT((ROW()-2)/5)+1)</f>
        <v>Nocturno</v>
      </c>
      <c r="F89">
        <f t="shared" si="11"/>
        <v>3</v>
      </c>
      <c r="G89">
        <v>195.93</v>
      </c>
      <c r="H89">
        <f>AVERAGE(INDEX($G$2:$G$101,INT((ROW()-2)/5)*5+1):INDEX($G$2:$G$101,INT((ROW()-2)/5)*5+5))</f>
        <v>195.196</v>
      </c>
      <c r="I89">
        <f>MAX(INDEX($G$2:$G$101,INT((ROW()-2)/5)*5+1):INDEX($G$2:$G$101,INT((ROW()-2)/5)*5+5))-MIN(INDEX($G$2:$G$101,INT((ROW()-2)/5)*5+1):INDEX($G$2:$G$101,INT((ROW()-2)/5)*5+5))</f>
        <v>3.6899999999999977</v>
      </c>
      <c r="J89">
        <f t="shared" si="12"/>
        <v>198.011976</v>
      </c>
      <c r="K89">
        <f t="shared" si="13"/>
        <v>192.140424</v>
      </c>
      <c r="L89">
        <f t="shared" si="14"/>
        <v>195.0762</v>
      </c>
      <c r="M89">
        <f t="shared" si="15"/>
        <v>5.0880000000000045</v>
      </c>
      <c r="N89">
        <f t="shared" si="16"/>
        <v>10.756032000000008</v>
      </c>
      <c r="O89">
        <f t="shared" si="17"/>
        <v>0</v>
      </c>
      <c r="P89" t="str">
        <f t="shared" si="18"/>
        <v>✅ DENTRO</v>
      </c>
      <c r="Q89" t="str">
        <f t="shared" si="19"/>
        <v>✅ DENTRO</v>
      </c>
    </row>
    <row r="90" spans="1:17" x14ac:dyDescent="0.3">
      <c r="A90" t="str">
        <f t="shared" si="10"/>
        <v>SUB-018</v>
      </c>
      <c r="B90" t="str">
        <f>INDEX(Lotes!$A$2:$A$21,INT((ROW()-2)/5)+1)</f>
        <v>RETEX-2024-018</v>
      </c>
      <c r="C90" s="2">
        <f>INDEX(Lotes!$B$2:$B$21,INT((ROW()-2)/5)+1)</f>
        <v>46214</v>
      </c>
      <c r="D90">
        <f>INDEX(Lotes!$C$2:$C$21,INT((ROW()-2)/5)+1)</f>
        <v>28</v>
      </c>
      <c r="E90" t="str">
        <f>INDEX(Lotes!$F$2:$F$21,INT((ROW()-2)/5)+1)</f>
        <v>Nocturno</v>
      </c>
      <c r="F90">
        <f t="shared" si="11"/>
        <v>4</v>
      </c>
      <c r="G90">
        <v>193.83</v>
      </c>
      <c r="H90">
        <f>AVERAGE(INDEX($G$2:$G$101,INT((ROW()-2)/5)*5+1):INDEX($G$2:$G$101,INT((ROW()-2)/5)*5+5))</f>
        <v>195.196</v>
      </c>
      <c r="I90">
        <f>MAX(INDEX($G$2:$G$101,INT((ROW()-2)/5)*5+1):INDEX($G$2:$G$101,INT((ROW()-2)/5)*5+5))-MIN(INDEX($G$2:$G$101,INT((ROW()-2)/5)*5+1):INDEX($G$2:$G$101,INT((ROW()-2)/5)*5+5))</f>
        <v>3.6899999999999977</v>
      </c>
      <c r="J90">
        <f t="shared" si="12"/>
        <v>198.011976</v>
      </c>
      <c r="K90">
        <f t="shared" si="13"/>
        <v>192.140424</v>
      </c>
      <c r="L90">
        <f t="shared" si="14"/>
        <v>195.0762</v>
      </c>
      <c r="M90">
        <f t="shared" si="15"/>
        <v>5.0880000000000045</v>
      </c>
      <c r="N90">
        <f t="shared" si="16"/>
        <v>10.756032000000008</v>
      </c>
      <c r="O90">
        <f t="shared" si="17"/>
        <v>0</v>
      </c>
      <c r="P90" t="str">
        <f t="shared" si="18"/>
        <v>✅ DENTRO</v>
      </c>
      <c r="Q90" t="str">
        <f t="shared" si="19"/>
        <v>✅ DENTRO</v>
      </c>
    </row>
    <row r="91" spans="1:17" x14ac:dyDescent="0.3">
      <c r="A91" t="str">
        <f t="shared" si="10"/>
        <v>SUB-018</v>
      </c>
      <c r="B91" t="str">
        <f>INDEX(Lotes!$A$2:$A$21,INT((ROW()-2)/5)+1)</f>
        <v>RETEX-2024-018</v>
      </c>
      <c r="C91" s="2">
        <f>INDEX(Lotes!$B$2:$B$21,INT((ROW()-2)/5)+1)</f>
        <v>46214</v>
      </c>
      <c r="D91">
        <f>INDEX(Lotes!$C$2:$C$21,INT((ROW()-2)/5)+1)</f>
        <v>28</v>
      </c>
      <c r="E91" t="str">
        <f>INDEX(Lotes!$F$2:$F$21,INT((ROW()-2)/5)+1)</f>
        <v>Nocturno</v>
      </c>
      <c r="F91">
        <f t="shared" si="11"/>
        <v>5</v>
      </c>
      <c r="G91">
        <v>197.15</v>
      </c>
      <c r="H91">
        <f>AVERAGE(INDEX($G$2:$G$101,INT((ROW()-2)/5)*5+1):INDEX($G$2:$G$101,INT((ROW()-2)/5)*5+5))</f>
        <v>195.196</v>
      </c>
      <c r="I91">
        <f>MAX(INDEX($G$2:$G$101,INT((ROW()-2)/5)*5+1):INDEX($G$2:$G$101,INT((ROW()-2)/5)*5+5))-MIN(INDEX($G$2:$G$101,INT((ROW()-2)/5)*5+1):INDEX($G$2:$G$101,INT((ROW()-2)/5)*5+5))</f>
        <v>3.6899999999999977</v>
      </c>
      <c r="J91">
        <f t="shared" si="12"/>
        <v>198.011976</v>
      </c>
      <c r="K91">
        <f t="shared" si="13"/>
        <v>192.140424</v>
      </c>
      <c r="L91">
        <f t="shared" si="14"/>
        <v>195.0762</v>
      </c>
      <c r="M91">
        <f t="shared" si="15"/>
        <v>5.0880000000000045</v>
      </c>
      <c r="N91">
        <f t="shared" si="16"/>
        <v>10.756032000000008</v>
      </c>
      <c r="O91">
        <f t="shared" si="17"/>
        <v>0</v>
      </c>
      <c r="P91" t="str">
        <f t="shared" si="18"/>
        <v>✅ DENTRO</v>
      </c>
      <c r="Q91" t="str">
        <f t="shared" si="19"/>
        <v>✅ DENTRO</v>
      </c>
    </row>
    <row r="92" spans="1:17" x14ac:dyDescent="0.3">
      <c r="A92" t="str">
        <f t="shared" si="10"/>
        <v>SUB-019</v>
      </c>
      <c r="B92" t="str">
        <f>INDEX(Lotes!$A$2:$A$21,INT((ROW()-2)/5)+1)</f>
        <v>RETEX-2024-019</v>
      </c>
      <c r="C92" s="2">
        <f>INDEX(Lotes!$B$2:$B$21,INT((ROW()-2)/5)+1)</f>
        <v>46221</v>
      </c>
      <c r="D92">
        <f>INDEX(Lotes!$C$2:$C$21,INT((ROW()-2)/5)+1)</f>
        <v>29</v>
      </c>
      <c r="E92" t="str">
        <f>INDEX(Lotes!$F$2:$F$21,INT((ROW()-2)/5)+1)</f>
        <v>Matutino</v>
      </c>
      <c r="F92">
        <f t="shared" si="11"/>
        <v>1</v>
      </c>
      <c r="G92">
        <v>196.03</v>
      </c>
      <c r="H92">
        <f>AVERAGE(INDEX($G$2:$G$101,INT((ROW()-2)/5)*5+1):INDEX($G$2:$G$101,INT((ROW()-2)/5)*5+5))</f>
        <v>194.75</v>
      </c>
      <c r="I92">
        <f>MAX(INDEX($G$2:$G$101,INT((ROW()-2)/5)*5+1):INDEX($G$2:$G$101,INT((ROW()-2)/5)*5+5))-MIN(INDEX($G$2:$G$101,INT((ROW()-2)/5)*5+1):INDEX($G$2:$G$101,INT((ROW()-2)/5)*5+5))</f>
        <v>2.3900000000000148</v>
      </c>
      <c r="J92">
        <f t="shared" si="12"/>
        <v>198.011976</v>
      </c>
      <c r="K92">
        <f t="shared" si="13"/>
        <v>192.140424</v>
      </c>
      <c r="L92">
        <f t="shared" si="14"/>
        <v>195.0762</v>
      </c>
      <c r="M92">
        <f t="shared" si="15"/>
        <v>5.0880000000000045</v>
      </c>
      <c r="N92">
        <f t="shared" si="16"/>
        <v>10.756032000000008</v>
      </c>
      <c r="O92">
        <f t="shared" si="17"/>
        <v>0</v>
      </c>
      <c r="P92" t="str">
        <f t="shared" si="18"/>
        <v>✅ DENTRO</v>
      </c>
      <c r="Q92" t="str">
        <f t="shared" si="19"/>
        <v>✅ DENTRO</v>
      </c>
    </row>
    <row r="93" spans="1:17" x14ac:dyDescent="0.3">
      <c r="A93" t="str">
        <f t="shared" si="10"/>
        <v>SUB-019</v>
      </c>
      <c r="B93" t="str">
        <f>INDEX(Lotes!$A$2:$A$21,INT((ROW()-2)/5)+1)</f>
        <v>RETEX-2024-019</v>
      </c>
      <c r="C93" s="2">
        <f>INDEX(Lotes!$B$2:$B$21,INT((ROW()-2)/5)+1)</f>
        <v>46221</v>
      </c>
      <c r="D93">
        <f>INDEX(Lotes!$C$2:$C$21,INT((ROW()-2)/5)+1)</f>
        <v>29</v>
      </c>
      <c r="E93" t="str">
        <f>INDEX(Lotes!$F$2:$F$21,INT((ROW()-2)/5)+1)</f>
        <v>Matutino</v>
      </c>
      <c r="F93">
        <f t="shared" si="11"/>
        <v>2</v>
      </c>
      <c r="G93">
        <v>194.81</v>
      </c>
      <c r="H93">
        <f>AVERAGE(INDEX($G$2:$G$101,INT((ROW()-2)/5)*5+1):INDEX($G$2:$G$101,INT((ROW()-2)/5)*5+5))</f>
        <v>194.75</v>
      </c>
      <c r="I93">
        <f>MAX(INDEX($G$2:$G$101,INT((ROW()-2)/5)*5+1):INDEX($G$2:$G$101,INT((ROW()-2)/5)*5+5))-MIN(INDEX($G$2:$G$101,INT((ROW()-2)/5)*5+1):INDEX($G$2:$G$101,INT((ROW()-2)/5)*5+5))</f>
        <v>2.3900000000000148</v>
      </c>
      <c r="J93">
        <f t="shared" si="12"/>
        <v>198.011976</v>
      </c>
      <c r="K93">
        <f t="shared" si="13"/>
        <v>192.140424</v>
      </c>
      <c r="L93">
        <f t="shared" si="14"/>
        <v>195.0762</v>
      </c>
      <c r="M93">
        <f t="shared" si="15"/>
        <v>5.0880000000000045</v>
      </c>
      <c r="N93">
        <f t="shared" si="16"/>
        <v>10.756032000000008</v>
      </c>
      <c r="O93">
        <f t="shared" si="17"/>
        <v>0</v>
      </c>
      <c r="P93" t="str">
        <f t="shared" si="18"/>
        <v>✅ DENTRO</v>
      </c>
      <c r="Q93" t="str">
        <f t="shared" si="19"/>
        <v>✅ DENTRO</v>
      </c>
    </row>
    <row r="94" spans="1:17" x14ac:dyDescent="0.3">
      <c r="A94" t="str">
        <f t="shared" si="10"/>
        <v>SUB-019</v>
      </c>
      <c r="B94" t="str">
        <f>INDEX(Lotes!$A$2:$A$21,INT((ROW()-2)/5)+1)</f>
        <v>RETEX-2024-019</v>
      </c>
      <c r="C94" s="2">
        <f>INDEX(Lotes!$B$2:$B$21,INT((ROW()-2)/5)+1)</f>
        <v>46221</v>
      </c>
      <c r="D94">
        <f>INDEX(Lotes!$C$2:$C$21,INT((ROW()-2)/5)+1)</f>
        <v>29</v>
      </c>
      <c r="E94" t="str">
        <f>INDEX(Lotes!$F$2:$F$21,INT((ROW()-2)/5)+1)</f>
        <v>Matutino</v>
      </c>
      <c r="F94">
        <f t="shared" si="11"/>
        <v>3</v>
      </c>
      <c r="G94">
        <v>194.14</v>
      </c>
      <c r="H94">
        <f>AVERAGE(INDEX($G$2:$G$101,INT((ROW()-2)/5)*5+1):INDEX($G$2:$G$101,INT((ROW()-2)/5)*5+5))</f>
        <v>194.75</v>
      </c>
      <c r="I94">
        <f>MAX(INDEX($G$2:$G$101,INT((ROW()-2)/5)*5+1):INDEX($G$2:$G$101,INT((ROW()-2)/5)*5+5))-MIN(INDEX($G$2:$G$101,INT((ROW()-2)/5)*5+1):INDEX($G$2:$G$101,INT((ROW()-2)/5)*5+5))</f>
        <v>2.3900000000000148</v>
      </c>
      <c r="J94">
        <f t="shared" si="12"/>
        <v>198.011976</v>
      </c>
      <c r="K94">
        <f t="shared" si="13"/>
        <v>192.140424</v>
      </c>
      <c r="L94">
        <f t="shared" si="14"/>
        <v>195.0762</v>
      </c>
      <c r="M94">
        <f t="shared" si="15"/>
        <v>5.0880000000000045</v>
      </c>
      <c r="N94">
        <f t="shared" si="16"/>
        <v>10.756032000000008</v>
      </c>
      <c r="O94">
        <f t="shared" si="17"/>
        <v>0</v>
      </c>
      <c r="P94" t="str">
        <f t="shared" si="18"/>
        <v>✅ DENTRO</v>
      </c>
      <c r="Q94" t="str">
        <f t="shared" si="19"/>
        <v>✅ DENTRO</v>
      </c>
    </row>
    <row r="95" spans="1:17" x14ac:dyDescent="0.3">
      <c r="A95" t="str">
        <f t="shared" si="10"/>
        <v>SUB-019</v>
      </c>
      <c r="B95" t="str">
        <f>INDEX(Lotes!$A$2:$A$21,INT((ROW()-2)/5)+1)</f>
        <v>RETEX-2024-019</v>
      </c>
      <c r="C95" s="2">
        <f>INDEX(Lotes!$B$2:$B$21,INT((ROW()-2)/5)+1)</f>
        <v>46221</v>
      </c>
      <c r="D95">
        <f>INDEX(Lotes!$C$2:$C$21,INT((ROW()-2)/5)+1)</f>
        <v>29</v>
      </c>
      <c r="E95" t="str">
        <f>INDEX(Lotes!$F$2:$F$21,INT((ROW()-2)/5)+1)</f>
        <v>Matutino</v>
      </c>
      <c r="F95">
        <f t="shared" si="11"/>
        <v>4</v>
      </c>
      <c r="G95">
        <v>193.64</v>
      </c>
      <c r="H95">
        <f>AVERAGE(INDEX($G$2:$G$101,INT((ROW()-2)/5)*5+1):INDEX($G$2:$G$101,INT((ROW()-2)/5)*5+5))</f>
        <v>194.75</v>
      </c>
      <c r="I95">
        <f>MAX(INDEX($G$2:$G$101,INT((ROW()-2)/5)*5+1):INDEX($G$2:$G$101,INT((ROW()-2)/5)*5+5))-MIN(INDEX($G$2:$G$101,INT((ROW()-2)/5)*5+1):INDEX($G$2:$G$101,INT((ROW()-2)/5)*5+5))</f>
        <v>2.3900000000000148</v>
      </c>
      <c r="J95">
        <f t="shared" si="12"/>
        <v>198.011976</v>
      </c>
      <c r="K95">
        <f t="shared" si="13"/>
        <v>192.140424</v>
      </c>
      <c r="L95">
        <f t="shared" si="14"/>
        <v>195.0762</v>
      </c>
      <c r="M95">
        <f t="shared" si="15"/>
        <v>5.0880000000000045</v>
      </c>
      <c r="N95">
        <f t="shared" si="16"/>
        <v>10.756032000000008</v>
      </c>
      <c r="O95">
        <f t="shared" si="17"/>
        <v>0</v>
      </c>
      <c r="P95" t="str">
        <f t="shared" si="18"/>
        <v>✅ DENTRO</v>
      </c>
      <c r="Q95" t="str">
        <f t="shared" si="19"/>
        <v>✅ DENTRO</v>
      </c>
    </row>
    <row r="96" spans="1:17" x14ac:dyDescent="0.3">
      <c r="A96" t="str">
        <f t="shared" si="10"/>
        <v>SUB-019</v>
      </c>
      <c r="B96" t="str">
        <f>INDEX(Lotes!$A$2:$A$21,INT((ROW()-2)/5)+1)</f>
        <v>RETEX-2024-019</v>
      </c>
      <c r="C96" s="2">
        <f>INDEX(Lotes!$B$2:$B$21,INT((ROW()-2)/5)+1)</f>
        <v>46221</v>
      </c>
      <c r="D96">
        <f>INDEX(Lotes!$C$2:$C$21,INT((ROW()-2)/5)+1)</f>
        <v>29</v>
      </c>
      <c r="E96" t="str">
        <f>INDEX(Lotes!$F$2:$F$21,INT((ROW()-2)/5)+1)</f>
        <v>Matutino</v>
      </c>
      <c r="F96">
        <f t="shared" si="11"/>
        <v>5</v>
      </c>
      <c r="G96">
        <v>195.13</v>
      </c>
      <c r="H96">
        <f>AVERAGE(INDEX($G$2:$G$101,INT((ROW()-2)/5)*5+1):INDEX($G$2:$G$101,INT((ROW()-2)/5)*5+5))</f>
        <v>194.75</v>
      </c>
      <c r="I96">
        <f>MAX(INDEX($G$2:$G$101,INT((ROW()-2)/5)*5+1):INDEX($G$2:$G$101,INT((ROW()-2)/5)*5+5))-MIN(INDEX($G$2:$G$101,INT((ROW()-2)/5)*5+1):INDEX($G$2:$G$101,INT((ROW()-2)/5)*5+5))</f>
        <v>2.3900000000000148</v>
      </c>
      <c r="J96">
        <f t="shared" si="12"/>
        <v>198.011976</v>
      </c>
      <c r="K96">
        <f t="shared" si="13"/>
        <v>192.140424</v>
      </c>
      <c r="L96">
        <f t="shared" si="14"/>
        <v>195.0762</v>
      </c>
      <c r="M96">
        <f t="shared" si="15"/>
        <v>5.0880000000000045</v>
      </c>
      <c r="N96">
        <f t="shared" si="16"/>
        <v>10.756032000000008</v>
      </c>
      <c r="O96">
        <f t="shared" si="17"/>
        <v>0</v>
      </c>
      <c r="P96" t="str">
        <f t="shared" si="18"/>
        <v>✅ DENTRO</v>
      </c>
      <c r="Q96" t="str">
        <f t="shared" si="19"/>
        <v>✅ DENTRO</v>
      </c>
    </row>
    <row r="97" spans="1:17" x14ac:dyDescent="0.3">
      <c r="A97" t="str">
        <f t="shared" si="10"/>
        <v>SUB-020</v>
      </c>
      <c r="B97" t="str">
        <f>INDEX(Lotes!$A$2:$A$21,INT((ROW()-2)/5)+1)</f>
        <v>RETEX-2024-020</v>
      </c>
      <c r="C97" s="2">
        <f>INDEX(Lotes!$B$2:$B$21,INT((ROW()-2)/5)+1)</f>
        <v>46228</v>
      </c>
      <c r="D97">
        <f>INDEX(Lotes!$C$2:$C$21,INT((ROW()-2)/5)+1)</f>
        <v>30</v>
      </c>
      <c r="E97" t="str">
        <f>INDEX(Lotes!$F$2:$F$21,INT((ROW()-2)/5)+1)</f>
        <v>Vespertino</v>
      </c>
      <c r="F97">
        <f t="shared" si="11"/>
        <v>1</v>
      </c>
      <c r="G97">
        <v>191.53</v>
      </c>
      <c r="H97">
        <f>AVERAGE(INDEX($G$2:$G$101,INT((ROW()-2)/5)*5+1):INDEX($G$2:$G$101,INT((ROW()-2)/5)*5+5))</f>
        <v>195.22800000000001</v>
      </c>
      <c r="I97">
        <f>MAX(INDEX($G$2:$G$101,INT((ROW()-2)/5)*5+1):INDEX($G$2:$G$101,INT((ROW()-2)/5)*5+5))-MIN(INDEX($G$2:$G$101,INT((ROW()-2)/5)*5+1):INDEX($G$2:$G$101,INT((ROW()-2)/5)*5+5))</f>
        <v>6.0099999999999909</v>
      </c>
      <c r="J97">
        <f t="shared" si="12"/>
        <v>198.011976</v>
      </c>
      <c r="K97">
        <f t="shared" si="13"/>
        <v>192.140424</v>
      </c>
      <c r="L97">
        <f t="shared" si="14"/>
        <v>195.0762</v>
      </c>
      <c r="M97">
        <f t="shared" si="15"/>
        <v>5.0880000000000045</v>
      </c>
      <c r="N97">
        <f t="shared" si="16"/>
        <v>10.756032000000008</v>
      </c>
      <c r="O97">
        <f t="shared" si="17"/>
        <v>0</v>
      </c>
      <c r="P97" t="str">
        <f t="shared" si="18"/>
        <v>✅ DENTRO</v>
      </c>
      <c r="Q97" t="str">
        <f t="shared" si="19"/>
        <v>✅ DENTRO</v>
      </c>
    </row>
    <row r="98" spans="1:17" x14ac:dyDescent="0.3">
      <c r="A98" t="str">
        <f t="shared" si="10"/>
        <v>SUB-020</v>
      </c>
      <c r="B98" t="str">
        <f>INDEX(Lotes!$A$2:$A$21,INT((ROW()-2)/5)+1)</f>
        <v>RETEX-2024-020</v>
      </c>
      <c r="C98" s="2">
        <f>INDEX(Lotes!$B$2:$B$21,INT((ROW()-2)/5)+1)</f>
        <v>46228</v>
      </c>
      <c r="D98">
        <f>INDEX(Lotes!$C$2:$C$21,INT((ROW()-2)/5)+1)</f>
        <v>30</v>
      </c>
      <c r="E98" t="str">
        <f>INDEX(Lotes!$F$2:$F$21,INT((ROW()-2)/5)+1)</f>
        <v>Vespertino</v>
      </c>
      <c r="F98">
        <f t="shared" si="11"/>
        <v>2</v>
      </c>
      <c r="G98">
        <v>196.39</v>
      </c>
      <c r="H98">
        <f>AVERAGE(INDEX($G$2:$G$101,INT((ROW()-2)/5)*5+1):INDEX($G$2:$G$101,INT((ROW()-2)/5)*5+5))</f>
        <v>195.22800000000001</v>
      </c>
      <c r="I98">
        <f>MAX(INDEX($G$2:$G$101,INT((ROW()-2)/5)*5+1):INDEX($G$2:$G$101,INT((ROW()-2)/5)*5+5))-MIN(INDEX($G$2:$G$101,INT((ROW()-2)/5)*5+1):INDEX($G$2:$G$101,INT((ROW()-2)/5)*5+5))</f>
        <v>6.0099999999999909</v>
      </c>
      <c r="J98">
        <f t="shared" si="12"/>
        <v>198.011976</v>
      </c>
      <c r="K98">
        <f t="shared" si="13"/>
        <v>192.140424</v>
      </c>
      <c r="L98">
        <f t="shared" si="14"/>
        <v>195.0762</v>
      </c>
      <c r="M98">
        <f t="shared" si="15"/>
        <v>5.0880000000000045</v>
      </c>
      <c r="N98">
        <f t="shared" si="16"/>
        <v>10.756032000000008</v>
      </c>
      <c r="O98">
        <f t="shared" si="17"/>
        <v>0</v>
      </c>
      <c r="P98" t="str">
        <f t="shared" si="18"/>
        <v>✅ DENTRO</v>
      </c>
      <c r="Q98" t="str">
        <f t="shared" si="19"/>
        <v>✅ DENTRO</v>
      </c>
    </row>
    <row r="99" spans="1:17" x14ac:dyDescent="0.3">
      <c r="A99" t="str">
        <f t="shared" si="10"/>
        <v>SUB-020</v>
      </c>
      <c r="B99" t="str">
        <f>INDEX(Lotes!$A$2:$A$21,INT((ROW()-2)/5)+1)</f>
        <v>RETEX-2024-020</v>
      </c>
      <c r="C99" s="2">
        <f>INDEX(Lotes!$B$2:$B$21,INT((ROW()-2)/5)+1)</f>
        <v>46228</v>
      </c>
      <c r="D99">
        <f>INDEX(Lotes!$C$2:$C$21,INT((ROW()-2)/5)+1)</f>
        <v>30</v>
      </c>
      <c r="E99" t="str">
        <f>INDEX(Lotes!$F$2:$F$21,INT((ROW()-2)/5)+1)</f>
        <v>Vespertino</v>
      </c>
      <c r="F99">
        <f t="shared" si="11"/>
        <v>3</v>
      </c>
      <c r="G99">
        <v>197.54</v>
      </c>
      <c r="H99">
        <f>AVERAGE(INDEX($G$2:$G$101,INT((ROW()-2)/5)*5+1):INDEX($G$2:$G$101,INT((ROW()-2)/5)*5+5))</f>
        <v>195.22800000000001</v>
      </c>
      <c r="I99">
        <f>MAX(INDEX($G$2:$G$101,INT((ROW()-2)/5)*5+1):INDEX($G$2:$G$101,INT((ROW()-2)/5)*5+5))-MIN(INDEX($G$2:$G$101,INT((ROW()-2)/5)*5+1):INDEX($G$2:$G$101,INT((ROW()-2)/5)*5+5))</f>
        <v>6.0099999999999909</v>
      </c>
      <c r="J99">
        <f t="shared" si="12"/>
        <v>198.011976</v>
      </c>
      <c r="K99">
        <f t="shared" si="13"/>
        <v>192.140424</v>
      </c>
      <c r="L99">
        <f t="shared" si="14"/>
        <v>195.0762</v>
      </c>
      <c r="M99">
        <f t="shared" si="15"/>
        <v>5.0880000000000045</v>
      </c>
      <c r="N99">
        <f t="shared" si="16"/>
        <v>10.756032000000008</v>
      </c>
      <c r="O99">
        <f t="shared" si="17"/>
        <v>0</v>
      </c>
      <c r="P99" t="str">
        <f t="shared" si="18"/>
        <v>✅ DENTRO</v>
      </c>
      <c r="Q99" t="str">
        <f t="shared" si="19"/>
        <v>✅ DENTRO</v>
      </c>
    </row>
    <row r="100" spans="1:17" x14ac:dyDescent="0.3">
      <c r="A100" t="str">
        <f t="shared" si="10"/>
        <v>SUB-020</v>
      </c>
      <c r="B100" t="str">
        <f>INDEX(Lotes!$A$2:$A$21,INT((ROW()-2)/5)+1)</f>
        <v>RETEX-2024-020</v>
      </c>
      <c r="C100" s="2">
        <f>INDEX(Lotes!$B$2:$B$21,INT((ROW()-2)/5)+1)</f>
        <v>46228</v>
      </c>
      <c r="D100">
        <f>INDEX(Lotes!$C$2:$C$21,INT((ROW()-2)/5)+1)</f>
        <v>30</v>
      </c>
      <c r="E100" t="str">
        <f>INDEX(Lotes!$F$2:$F$21,INT((ROW()-2)/5)+1)</f>
        <v>Vespertino</v>
      </c>
      <c r="F100">
        <f t="shared" si="11"/>
        <v>4</v>
      </c>
      <c r="G100">
        <v>196.22</v>
      </c>
      <c r="H100">
        <f>AVERAGE(INDEX($G$2:$G$101,INT((ROW()-2)/5)*5+1):INDEX($G$2:$G$101,INT((ROW()-2)/5)*5+5))</f>
        <v>195.22800000000001</v>
      </c>
      <c r="I100">
        <f>MAX(INDEX($G$2:$G$101,INT((ROW()-2)/5)*5+1):INDEX($G$2:$G$101,INT((ROW()-2)/5)*5+5))-MIN(INDEX($G$2:$G$101,INT((ROW()-2)/5)*5+1):INDEX($G$2:$G$101,INT((ROW()-2)/5)*5+5))</f>
        <v>6.0099999999999909</v>
      </c>
      <c r="J100">
        <f t="shared" si="12"/>
        <v>198.011976</v>
      </c>
      <c r="K100">
        <f t="shared" si="13"/>
        <v>192.140424</v>
      </c>
      <c r="L100">
        <f t="shared" si="14"/>
        <v>195.0762</v>
      </c>
      <c r="M100">
        <f t="shared" si="15"/>
        <v>5.0880000000000045</v>
      </c>
      <c r="N100">
        <f t="shared" si="16"/>
        <v>10.756032000000008</v>
      </c>
      <c r="O100">
        <f t="shared" si="17"/>
        <v>0</v>
      </c>
      <c r="P100" t="str">
        <f t="shared" si="18"/>
        <v>✅ DENTRO</v>
      </c>
      <c r="Q100" t="str">
        <f t="shared" si="19"/>
        <v>✅ DENTRO</v>
      </c>
    </row>
    <row r="101" spans="1:17" x14ac:dyDescent="0.3">
      <c r="A101" t="str">
        <f t="shared" si="10"/>
        <v>SUB-020</v>
      </c>
      <c r="B101" t="str">
        <f>INDEX(Lotes!$A$2:$A$21,INT((ROW()-2)/5)+1)</f>
        <v>RETEX-2024-020</v>
      </c>
      <c r="C101" s="2">
        <f>INDEX(Lotes!$B$2:$B$21,INT((ROW()-2)/5)+1)</f>
        <v>46228</v>
      </c>
      <c r="D101">
        <f>INDEX(Lotes!$C$2:$C$21,INT((ROW()-2)/5)+1)</f>
        <v>30</v>
      </c>
      <c r="E101" t="str">
        <f>INDEX(Lotes!$F$2:$F$21,INT((ROW()-2)/5)+1)</f>
        <v>Vespertino</v>
      </c>
      <c r="F101">
        <f t="shared" si="11"/>
        <v>5</v>
      </c>
      <c r="G101">
        <v>194.46</v>
      </c>
      <c r="H101">
        <f>AVERAGE(INDEX($G$2:$G$101,INT((ROW()-2)/5)*5+1):INDEX($G$2:$G$101,INT((ROW()-2)/5)*5+5))</f>
        <v>195.22800000000001</v>
      </c>
      <c r="I101">
        <f>MAX(INDEX($G$2:$G$101,INT((ROW()-2)/5)*5+1):INDEX($G$2:$G$101,INT((ROW()-2)/5)*5+5))-MIN(INDEX($G$2:$G$101,INT((ROW()-2)/5)*5+1):INDEX($G$2:$G$101,INT((ROW()-2)/5)*5+5))</f>
        <v>6.0099999999999909</v>
      </c>
      <c r="J101">
        <f t="shared" si="12"/>
        <v>198.011976</v>
      </c>
      <c r="K101">
        <f t="shared" si="13"/>
        <v>192.140424</v>
      </c>
      <c r="L101">
        <f t="shared" si="14"/>
        <v>195.0762</v>
      </c>
      <c r="M101">
        <f t="shared" si="15"/>
        <v>5.0880000000000045</v>
      </c>
      <c r="N101">
        <f t="shared" si="16"/>
        <v>10.756032000000008</v>
      </c>
      <c r="O101">
        <f t="shared" si="17"/>
        <v>0</v>
      </c>
      <c r="P101" t="str">
        <f t="shared" si="18"/>
        <v>✅ DENTRO</v>
      </c>
      <c r="Q101" t="str">
        <f t="shared" si="19"/>
        <v>✅ DENTRO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4E12-E8A7-49A0-9839-A407600AC6A4}">
  <dimension ref="A1:O319"/>
  <sheetViews>
    <sheetView topLeftCell="A289" zoomScale="90" zoomScaleNormal="90" workbookViewId="0">
      <pane xSplit="1" topLeftCell="B1" activePane="topRight" state="frozen"/>
      <selection pane="topRight" activeCell="D3" sqref="D3"/>
    </sheetView>
  </sheetViews>
  <sheetFormatPr baseColWidth="10" defaultRowHeight="14.4" x14ac:dyDescent="0.3"/>
  <cols>
    <col min="1" max="1" width="8.77734375" customWidth="1"/>
    <col min="2" max="2" width="11.6640625" style="2" bestFit="1" customWidth="1"/>
    <col min="3" max="3" width="9.88671875" customWidth="1"/>
    <col min="4" max="4" width="15.33203125" bestFit="1" customWidth="1"/>
    <col min="5" max="5" width="10.88671875" bestFit="1" customWidth="1"/>
    <col min="6" max="6" width="14.109375" bestFit="1" customWidth="1"/>
    <col min="7" max="7" width="15.33203125" customWidth="1"/>
    <col min="8" max="8" width="15.6640625" customWidth="1"/>
    <col min="9" max="9" width="13.21875" bestFit="1" customWidth="1"/>
    <col min="10" max="10" width="11.77734375" customWidth="1"/>
    <col min="11" max="11" width="13.88671875" bestFit="1" customWidth="1"/>
    <col min="12" max="12" width="20.44140625" bestFit="1" customWidth="1"/>
    <col min="14" max="14" width="25.6640625" bestFit="1" customWidth="1"/>
  </cols>
  <sheetData>
    <row r="1" spans="1:15" x14ac:dyDescent="0.3">
      <c r="A1" s="1" t="s">
        <v>99</v>
      </c>
      <c r="B1" s="8" t="s">
        <v>1</v>
      </c>
      <c r="C1" s="1" t="s">
        <v>0</v>
      </c>
      <c r="D1" s="1" t="s">
        <v>74</v>
      </c>
      <c r="E1" s="1" t="s">
        <v>2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72</v>
      </c>
      <c r="K1" s="1" t="s">
        <v>104</v>
      </c>
      <c r="L1" s="1" t="s">
        <v>105</v>
      </c>
    </row>
    <row r="2" spans="1:15" x14ac:dyDescent="0.3">
      <c r="A2" t="str">
        <f>"KPI-"&amp;TEXT(ROW()-1,"000")</f>
        <v>KPI-001</v>
      </c>
      <c r="B2" s="2">
        <f>INDEX(Lotes!$B$2:$B$53,INT((ROW()-2)/6)+1)</f>
        <v>46095</v>
      </c>
      <c r="C2">
        <f>INDEX(Lotes!$C$2:$C$53,INT((ROW()-2)/6)+1)</f>
        <v>11</v>
      </c>
      <c r="D2" t="str">
        <f>INDEX(Lotes!$A$2:$A$53,INT((ROW()-2)/6)+1)</f>
        <v>RETEX-2024-001</v>
      </c>
      <c r="E2" t="str">
        <f>INDEX(Lotes!$D$2:$D$53,INT((ROW()-2)/6)+1)</f>
        <v>marzo</v>
      </c>
      <c r="F2" t="s">
        <v>106</v>
      </c>
      <c r="G2" s="10">
        <v>97.75</v>
      </c>
      <c r="H2">
        <f>IF(F2="IPL",96,IF(F2="RS",70,IF(F2="VH",8,IF(F2="TR",1,IF(F2="TEC",3,1)))))</f>
        <v>96</v>
      </c>
      <c r="I2" t="str">
        <f t="shared" ref="I2:I65" si="0">IF(F2="IPL","%pureza",IF(F2="RS","%rendimiento",IF(F2="VH","%humedad",IF(F2="TR","%retorno",IF(F2="TEC","%error","índice")))))</f>
        <v>%pureza</v>
      </c>
      <c r="J2" t="str">
        <f>IF(OR(F2="IPL",F2="RS",F2="Cpk_Mensual"),IF(G2&lt;H2,"❌ ALERTA","✅ OK"),IF(G2&gt;H2,"❌ ALERTA","✅ OK"))</f>
        <v>✅ OK</v>
      </c>
      <c r="K2" t="str">
        <f>IF(OR(F2="IPL",F2="RS",F2="Cpk_Mensual"),IF(G2&lt;H2,"🔴 ALERTA",IF(G2&lt;H2*1.05,"🟡 PRECAUCIÓN","🟢 OK")),IF(G2&gt;H2,"🔴 ALERTA",IF(G2&gt;H2*0.85,"🟡 PRECAUCIÓN","🟢 OK")))</f>
        <v>🟡 PRECAUCIÓN</v>
      </c>
      <c r="L2" t="str">
        <f>IF(F2="IPL","Inspector de Calidad",IF(F2="RS","Coordinador de Planta",IF(F2="VH","Almacenista",IF(F2="TR","Gerente de Calidad",IF(F2="TEC","Supervisor","Ingeniero de Calidad")))))</f>
        <v>Inspector de Calidad</v>
      </c>
      <c r="N2" s="13"/>
    </row>
    <row r="3" spans="1:15" x14ac:dyDescent="0.3">
      <c r="A3" t="str">
        <f t="shared" ref="A3:A66" si="1">"KPI-"&amp;TEXT(ROW()-1,"000")</f>
        <v>KPI-002</v>
      </c>
      <c r="B3" s="2">
        <f>INDEX(Lotes!$B$2:$B$53,INT((ROW()-2)/6)+1)</f>
        <v>46095</v>
      </c>
      <c r="C3">
        <f>INDEX(Lotes!$C$2:$C$53,INT((ROW()-2)/6)+1)</f>
        <v>11</v>
      </c>
      <c r="D3" s="21" t="str">
        <f>INDEX(Lotes!$A$2:$A$53,INT((ROW()-2)/6)+1)</f>
        <v>RETEX-2024-001</v>
      </c>
      <c r="E3" t="str">
        <f>INDEX(Lotes!$D$2:$D$53,INT((ROW()-2)/6)+1)</f>
        <v>marzo</v>
      </c>
      <c r="F3" t="s">
        <v>107</v>
      </c>
      <c r="G3" s="10">
        <v>72.930000000000007</v>
      </c>
      <c r="H3">
        <f t="shared" ref="H3:H66" si="2">IF(F3="IPL",96,IF(F3="RS",70,IF(F3="VH",8,IF(F3="TR",1,IF(F3="TEC",3,1)))))</f>
        <v>70</v>
      </c>
      <c r="I3" t="str">
        <f t="shared" si="0"/>
        <v>%rendimiento</v>
      </c>
      <c r="J3" t="str">
        <f t="shared" ref="J3:J66" si="3">IF(OR(F3="IPL",F3="RS",F3="Cpk_Mensual"),IF(G3&lt;H3,"❌ ALERTA","✅ OK"),IF(G3&gt;H3,"❌ ALERTA","✅ OK"))</f>
        <v>✅ OK</v>
      </c>
      <c r="K3" t="str">
        <f t="shared" ref="K3:K66" si="4">IF(OR(F3="IPL",F3="RS",F3="Cpk_Mensual"),IF(G3&lt;H3,"🔴 ALERTA",IF(G3&lt;H3*1.05,"🟡 PRECAUCIÓN","🟢 OK")),IF(G3&gt;H3,"🔴 ALERTA",IF(G3&gt;H3*0.85,"🟡 PRECAUCIÓN","🟢 OK")))</f>
        <v>🟡 PRECAUCIÓN</v>
      </c>
      <c r="L3" t="str">
        <f t="shared" ref="L3:L66" si="5">IF(F3="IPL","Inspector de Calidad",IF(F3="RS","Coordinador de Planta",IF(F3="VH","Almacenista",IF(F3="TR","Gerente de Calidad",IF(F3="TEC","Supervisor","Ingeniero de Calidad")))))</f>
        <v>Coordinador de Planta</v>
      </c>
      <c r="N3" s="11"/>
    </row>
    <row r="4" spans="1:15" x14ac:dyDescent="0.3">
      <c r="A4" t="str">
        <f t="shared" si="1"/>
        <v>KPI-003</v>
      </c>
      <c r="B4" s="2">
        <f>INDEX(Lotes!$B$2:$B$53,INT((ROW()-2)/6)+1)</f>
        <v>46095</v>
      </c>
      <c r="C4">
        <f>INDEX(Lotes!$C$2:$C$53,INT((ROW()-2)/6)+1)</f>
        <v>11</v>
      </c>
      <c r="D4" t="str">
        <f>INDEX(Lotes!$A$2:$A$53,INT((ROW()-2)/6)+1)</f>
        <v>RETEX-2024-001</v>
      </c>
      <c r="E4" t="str">
        <f>INDEX(Lotes!$D$2:$D$53,INT((ROW()-2)/6)+1)</f>
        <v>marzo</v>
      </c>
      <c r="F4" t="s">
        <v>108</v>
      </c>
      <c r="G4" s="10">
        <v>7.38</v>
      </c>
      <c r="H4">
        <f t="shared" si="2"/>
        <v>8</v>
      </c>
      <c r="I4" t="str">
        <f t="shared" si="0"/>
        <v>%humedad</v>
      </c>
      <c r="J4" t="str">
        <f t="shared" si="3"/>
        <v>✅ OK</v>
      </c>
      <c r="K4" t="str">
        <f t="shared" si="4"/>
        <v>🟡 PRECAUCIÓN</v>
      </c>
      <c r="L4" t="str">
        <f t="shared" si="5"/>
        <v>Almacenista</v>
      </c>
    </row>
    <row r="5" spans="1:15" x14ac:dyDescent="0.3">
      <c r="A5" t="str">
        <f t="shared" si="1"/>
        <v>KPI-004</v>
      </c>
      <c r="B5" s="2">
        <f>INDEX(Lotes!$B$2:$B$53,INT((ROW()-2)/6)+1)</f>
        <v>46095</v>
      </c>
      <c r="C5">
        <f>INDEX(Lotes!$C$2:$C$53,INT((ROW()-2)/6)+1)</f>
        <v>11</v>
      </c>
      <c r="D5" t="str">
        <f>INDEX(Lotes!$A$2:$A$53,INT((ROW()-2)/6)+1)</f>
        <v>RETEX-2024-001</v>
      </c>
      <c r="E5" t="str">
        <f>INDEX(Lotes!$D$2:$D$53,INT((ROW()-2)/6)+1)</f>
        <v>marzo</v>
      </c>
      <c r="F5" t="s">
        <v>109</v>
      </c>
      <c r="G5" s="10">
        <v>0.78</v>
      </c>
      <c r="H5">
        <f t="shared" si="2"/>
        <v>1</v>
      </c>
      <c r="I5" t="str">
        <f t="shared" si="0"/>
        <v>%retorno</v>
      </c>
      <c r="J5" t="str">
        <f t="shared" si="3"/>
        <v>✅ OK</v>
      </c>
      <c r="K5" t="str">
        <f t="shared" si="4"/>
        <v>🟢 OK</v>
      </c>
      <c r="L5" t="str">
        <f t="shared" si="5"/>
        <v>Gerente de Calidad</v>
      </c>
      <c r="N5" s="11"/>
    </row>
    <row r="6" spans="1:15" x14ac:dyDescent="0.3">
      <c r="A6" t="str">
        <f t="shared" si="1"/>
        <v>KPI-005</v>
      </c>
      <c r="B6" s="2">
        <f>INDEX(Lotes!$B$2:$B$53,INT((ROW()-2)/6)+1)</f>
        <v>46095</v>
      </c>
      <c r="C6">
        <f>INDEX(Lotes!$C$2:$C$53,INT((ROW()-2)/6)+1)</f>
        <v>11</v>
      </c>
      <c r="D6" t="str">
        <f>INDEX(Lotes!$A$2:$A$53,INT((ROW()-2)/6)+1)</f>
        <v>RETEX-2024-001</v>
      </c>
      <c r="E6" t="str">
        <f>INDEX(Lotes!$D$2:$D$53,INT((ROW()-2)/6)+1)</f>
        <v>marzo</v>
      </c>
      <c r="F6" t="s">
        <v>110</v>
      </c>
      <c r="G6" s="10">
        <v>1.88</v>
      </c>
      <c r="H6">
        <f t="shared" si="2"/>
        <v>3</v>
      </c>
      <c r="I6" t="str">
        <f t="shared" si="0"/>
        <v>%error</v>
      </c>
      <c r="J6" t="str">
        <f t="shared" si="3"/>
        <v>✅ OK</v>
      </c>
      <c r="K6" t="str">
        <f t="shared" si="4"/>
        <v>🟢 OK</v>
      </c>
      <c r="L6" t="str">
        <f t="shared" si="5"/>
        <v>Supervisor</v>
      </c>
      <c r="N6" s="11"/>
    </row>
    <row r="7" spans="1:15" x14ac:dyDescent="0.3">
      <c r="A7" t="str">
        <f t="shared" si="1"/>
        <v>KPI-006</v>
      </c>
      <c r="B7" s="2">
        <f>INDEX(Lotes!$B$2:$B$53,INT((ROW()-2)/6)+1)</f>
        <v>46095</v>
      </c>
      <c r="C7">
        <f>INDEX(Lotes!$C$2:$C$53,INT((ROW()-2)/6)+1)</f>
        <v>11</v>
      </c>
      <c r="D7" t="str">
        <f>INDEX(Lotes!$A$2:$A$53,INT((ROW()-2)/6)+1)</f>
        <v>RETEX-2024-001</v>
      </c>
      <c r="E7" t="str">
        <f>INDEX(Lotes!$D$2:$D$53,INT((ROW()-2)/6)+1)</f>
        <v>marzo</v>
      </c>
      <c r="F7" t="s">
        <v>111</v>
      </c>
      <c r="G7" s="10">
        <v>0.84</v>
      </c>
      <c r="H7">
        <f t="shared" si="2"/>
        <v>1</v>
      </c>
      <c r="I7" t="str">
        <f t="shared" si="0"/>
        <v>índice</v>
      </c>
      <c r="J7" t="str">
        <f t="shared" si="3"/>
        <v>❌ ALERTA</v>
      </c>
      <c r="K7" t="str">
        <f t="shared" si="4"/>
        <v>🔴 ALERTA</v>
      </c>
      <c r="L7" t="str">
        <f t="shared" si="5"/>
        <v>Ingeniero de Calidad</v>
      </c>
      <c r="N7" s="11"/>
    </row>
    <row r="8" spans="1:15" x14ac:dyDescent="0.3">
      <c r="A8" t="str">
        <f t="shared" si="1"/>
        <v>KPI-007</v>
      </c>
      <c r="B8" s="2">
        <f>INDEX(Lotes!$B$2:$B$53,INT((ROW()-2)/6)+1)</f>
        <v>46102</v>
      </c>
      <c r="C8">
        <f>INDEX(Lotes!$C$2:$C$53,INT((ROW()-2)/6)+1)</f>
        <v>12</v>
      </c>
      <c r="D8" t="str">
        <f>INDEX(Lotes!$A$2:$A$53,INT((ROW()-2)/6)+1)</f>
        <v>RETEX-2024-002</v>
      </c>
      <c r="E8" t="str">
        <f>INDEX(Lotes!$D$2:$D$53,INT((ROW()-2)/6)+1)</f>
        <v>marzo</v>
      </c>
      <c r="F8" t="s">
        <v>106</v>
      </c>
      <c r="G8" s="10">
        <v>97.66</v>
      </c>
      <c r="H8">
        <f t="shared" si="2"/>
        <v>96</v>
      </c>
      <c r="I8" t="str">
        <f t="shared" si="0"/>
        <v>%pureza</v>
      </c>
      <c r="J8" t="str">
        <f t="shared" si="3"/>
        <v>✅ OK</v>
      </c>
      <c r="K8" t="str">
        <f t="shared" si="4"/>
        <v>🟡 PRECAUCIÓN</v>
      </c>
      <c r="L8" t="str">
        <f t="shared" si="5"/>
        <v>Inspector de Calidad</v>
      </c>
      <c r="N8" s="12"/>
    </row>
    <row r="9" spans="1:15" x14ac:dyDescent="0.3">
      <c r="A9" t="str">
        <f t="shared" si="1"/>
        <v>KPI-008</v>
      </c>
      <c r="B9" s="2">
        <f>INDEX(Lotes!$B$2:$B$53,INT((ROW()-2)/6)+1)</f>
        <v>46102</v>
      </c>
      <c r="C9">
        <f>INDEX(Lotes!$C$2:$C$53,INT((ROW()-2)/6)+1)</f>
        <v>12</v>
      </c>
      <c r="D9" t="str">
        <f>INDEX(Lotes!$A$2:$A$53,INT((ROW()-2)/6)+1)</f>
        <v>RETEX-2024-002</v>
      </c>
      <c r="E9" t="str">
        <f>INDEX(Lotes!$D$2:$D$53,INT((ROW()-2)/6)+1)</f>
        <v>marzo</v>
      </c>
      <c r="F9" t="s">
        <v>107</v>
      </c>
      <c r="G9" s="10">
        <v>71.33</v>
      </c>
      <c r="H9">
        <f t="shared" si="2"/>
        <v>70</v>
      </c>
      <c r="I9" t="str">
        <f t="shared" si="0"/>
        <v>%rendimiento</v>
      </c>
      <c r="J9" t="str">
        <f t="shared" si="3"/>
        <v>✅ OK</v>
      </c>
      <c r="K9" t="str">
        <f t="shared" si="4"/>
        <v>🟡 PRECAUCIÓN</v>
      </c>
      <c r="L9" t="str">
        <f t="shared" si="5"/>
        <v>Coordinador de Planta</v>
      </c>
      <c r="N9" s="12"/>
      <c r="O9" s="7"/>
    </row>
    <row r="10" spans="1:15" x14ac:dyDescent="0.3">
      <c r="A10" t="str">
        <f t="shared" si="1"/>
        <v>KPI-009</v>
      </c>
      <c r="B10" s="2">
        <f>INDEX(Lotes!$B$2:$B$53,INT((ROW()-2)/6)+1)</f>
        <v>46102</v>
      </c>
      <c r="C10">
        <f>INDEX(Lotes!$C$2:$C$53,INT((ROW()-2)/6)+1)</f>
        <v>12</v>
      </c>
      <c r="D10" t="str">
        <f>INDEX(Lotes!$A$2:$A$53,INT((ROW()-2)/6)+1)</f>
        <v>RETEX-2024-002</v>
      </c>
      <c r="E10" t="str">
        <f>INDEX(Lotes!$D$2:$D$53,INT((ROW()-2)/6)+1)</f>
        <v>marzo</v>
      </c>
      <c r="F10" t="s">
        <v>108</v>
      </c>
      <c r="G10" s="10">
        <v>5.46</v>
      </c>
      <c r="H10">
        <f t="shared" si="2"/>
        <v>8</v>
      </c>
      <c r="I10" t="str">
        <f t="shared" si="0"/>
        <v>%humedad</v>
      </c>
      <c r="J10" t="str">
        <f t="shared" si="3"/>
        <v>✅ OK</v>
      </c>
      <c r="K10" t="str">
        <f t="shared" si="4"/>
        <v>🟢 OK</v>
      </c>
      <c r="L10" t="str">
        <f t="shared" si="5"/>
        <v>Almacenista</v>
      </c>
    </row>
    <row r="11" spans="1:15" x14ac:dyDescent="0.3">
      <c r="A11" t="str">
        <f t="shared" si="1"/>
        <v>KPI-010</v>
      </c>
      <c r="B11" s="2">
        <f>INDEX(Lotes!$B$2:$B$53,INT((ROW()-2)/6)+1)</f>
        <v>46102</v>
      </c>
      <c r="C11">
        <f>INDEX(Lotes!$C$2:$C$53,INT((ROW()-2)/6)+1)</f>
        <v>12</v>
      </c>
      <c r="D11" t="str">
        <f>INDEX(Lotes!$A$2:$A$53,INT((ROW()-2)/6)+1)</f>
        <v>RETEX-2024-002</v>
      </c>
      <c r="E11" t="str">
        <f>INDEX(Lotes!$D$2:$D$53,INT((ROW()-2)/6)+1)</f>
        <v>marzo</v>
      </c>
      <c r="F11" t="s">
        <v>109</v>
      </c>
      <c r="G11" s="10">
        <v>1.0900000000000001</v>
      </c>
      <c r="H11">
        <f t="shared" si="2"/>
        <v>1</v>
      </c>
      <c r="I11" t="str">
        <f t="shared" si="0"/>
        <v>%retorno</v>
      </c>
      <c r="J11" t="str">
        <f t="shared" si="3"/>
        <v>❌ ALERTA</v>
      </c>
      <c r="K11" t="str">
        <f t="shared" si="4"/>
        <v>🔴 ALERTA</v>
      </c>
      <c r="L11" t="str">
        <f t="shared" si="5"/>
        <v>Gerente de Calidad</v>
      </c>
    </row>
    <row r="12" spans="1:15" x14ac:dyDescent="0.3">
      <c r="A12" t="str">
        <f t="shared" si="1"/>
        <v>KPI-011</v>
      </c>
      <c r="B12" s="2">
        <f>INDEX(Lotes!$B$2:$B$53,INT((ROW()-2)/6)+1)</f>
        <v>46102</v>
      </c>
      <c r="C12">
        <f>INDEX(Lotes!$C$2:$C$53,INT((ROW()-2)/6)+1)</f>
        <v>12</v>
      </c>
      <c r="D12" t="str">
        <f>INDEX(Lotes!$A$2:$A$53,INT((ROW()-2)/6)+1)</f>
        <v>RETEX-2024-002</v>
      </c>
      <c r="E12" t="str">
        <f>INDEX(Lotes!$D$2:$D$53,INT((ROW()-2)/6)+1)</f>
        <v>marzo</v>
      </c>
      <c r="F12" t="s">
        <v>110</v>
      </c>
      <c r="G12" s="10">
        <v>1.88</v>
      </c>
      <c r="H12">
        <f t="shared" si="2"/>
        <v>3</v>
      </c>
      <c r="I12" t="str">
        <f t="shared" si="0"/>
        <v>%error</v>
      </c>
      <c r="J12" t="str">
        <f t="shared" si="3"/>
        <v>✅ OK</v>
      </c>
      <c r="K12" t="str">
        <f t="shared" si="4"/>
        <v>🟢 OK</v>
      </c>
      <c r="L12" t="str">
        <f t="shared" si="5"/>
        <v>Supervisor</v>
      </c>
    </row>
    <row r="13" spans="1:15" x14ac:dyDescent="0.3">
      <c r="A13" t="str">
        <f t="shared" si="1"/>
        <v>KPI-012</v>
      </c>
      <c r="B13" s="2">
        <f>INDEX(Lotes!$B$2:$B$53,INT((ROW()-2)/6)+1)</f>
        <v>46102</v>
      </c>
      <c r="C13">
        <f>INDEX(Lotes!$C$2:$C$53,INT((ROW()-2)/6)+1)</f>
        <v>12</v>
      </c>
      <c r="D13" t="str">
        <f>INDEX(Lotes!$A$2:$A$53,INT((ROW()-2)/6)+1)</f>
        <v>RETEX-2024-002</v>
      </c>
      <c r="E13" t="str">
        <f>INDEX(Lotes!$D$2:$D$53,INT((ROW()-2)/6)+1)</f>
        <v>marzo</v>
      </c>
      <c r="F13" t="s">
        <v>111</v>
      </c>
      <c r="G13" s="10">
        <v>0.99</v>
      </c>
      <c r="H13">
        <f t="shared" si="2"/>
        <v>1</v>
      </c>
      <c r="I13" t="str">
        <f t="shared" si="0"/>
        <v>índice</v>
      </c>
      <c r="J13" t="str">
        <f t="shared" si="3"/>
        <v>❌ ALERTA</v>
      </c>
      <c r="K13" t="str">
        <f t="shared" si="4"/>
        <v>🔴 ALERTA</v>
      </c>
      <c r="L13" t="str">
        <f t="shared" si="5"/>
        <v>Ingeniero de Calidad</v>
      </c>
    </row>
    <row r="14" spans="1:15" x14ac:dyDescent="0.3">
      <c r="A14" t="str">
        <f t="shared" si="1"/>
        <v>KPI-013</v>
      </c>
      <c r="B14" s="2">
        <f>INDEX(Lotes!$B$2:$B$53,INT((ROW()-2)/6)+1)</f>
        <v>46109</v>
      </c>
      <c r="C14">
        <f>INDEX(Lotes!$C$2:$C$53,INT((ROW()-2)/6)+1)</f>
        <v>13</v>
      </c>
      <c r="D14" t="str">
        <f>INDEX(Lotes!$A$2:$A$53,INT((ROW()-2)/6)+1)</f>
        <v>RETEX-2024-003</v>
      </c>
      <c r="E14" t="str">
        <f>INDEX(Lotes!$D$2:$D$53,INT((ROW()-2)/6)+1)</f>
        <v>marzo</v>
      </c>
      <c r="F14" t="s">
        <v>106</v>
      </c>
      <c r="G14" s="10">
        <v>96.86</v>
      </c>
      <c r="H14">
        <f t="shared" si="2"/>
        <v>96</v>
      </c>
      <c r="I14" t="str">
        <f t="shared" si="0"/>
        <v>%pureza</v>
      </c>
      <c r="J14" t="str">
        <f t="shared" si="3"/>
        <v>✅ OK</v>
      </c>
      <c r="K14" t="str">
        <f t="shared" si="4"/>
        <v>🟡 PRECAUCIÓN</v>
      </c>
      <c r="L14" t="str">
        <f t="shared" si="5"/>
        <v>Inspector de Calidad</v>
      </c>
    </row>
    <row r="15" spans="1:15" x14ac:dyDescent="0.3">
      <c r="A15" t="str">
        <f t="shared" si="1"/>
        <v>KPI-014</v>
      </c>
      <c r="B15" s="2">
        <f>INDEX(Lotes!$B$2:$B$53,INT((ROW()-2)/6)+1)</f>
        <v>46109</v>
      </c>
      <c r="C15">
        <f>INDEX(Lotes!$C$2:$C$53,INT((ROW()-2)/6)+1)</f>
        <v>13</v>
      </c>
      <c r="D15" t="str">
        <f>INDEX(Lotes!$A$2:$A$53,INT((ROW()-2)/6)+1)</f>
        <v>RETEX-2024-003</v>
      </c>
      <c r="E15" t="str">
        <f>INDEX(Lotes!$D$2:$D$53,INT((ROW()-2)/6)+1)</f>
        <v>marzo</v>
      </c>
      <c r="F15" t="s">
        <v>107</v>
      </c>
      <c r="G15" s="10">
        <v>73.72</v>
      </c>
      <c r="H15">
        <f t="shared" si="2"/>
        <v>70</v>
      </c>
      <c r="I15" t="str">
        <f t="shared" si="0"/>
        <v>%rendimiento</v>
      </c>
      <c r="J15" t="str">
        <f t="shared" si="3"/>
        <v>✅ OK</v>
      </c>
      <c r="K15" t="str">
        <f t="shared" si="4"/>
        <v>🟢 OK</v>
      </c>
      <c r="L15" t="str">
        <f t="shared" si="5"/>
        <v>Coordinador de Planta</v>
      </c>
    </row>
    <row r="16" spans="1:15" x14ac:dyDescent="0.3">
      <c r="A16" t="str">
        <f t="shared" si="1"/>
        <v>KPI-015</v>
      </c>
      <c r="B16" s="2">
        <f>INDEX(Lotes!$B$2:$B$53,INT((ROW()-2)/6)+1)</f>
        <v>46109</v>
      </c>
      <c r="C16">
        <f>INDEX(Lotes!$C$2:$C$53,INT((ROW()-2)/6)+1)</f>
        <v>13</v>
      </c>
      <c r="D16" t="str">
        <f>INDEX(Lotes!$A$2:$A$53,INT((ROW()-2)/6)+1)</f>
        <v>RETEX-2024-003</v>
      </c>
      <c r="E16" t="str">
        <f>INDEX(Lotes!$D$2:$D$53,INT((ROW()-2)/6)+1)</f>
        <v>marzo</v>
      </c>
      <c r="F16" t="s">
        <v>108</v>
      </c>
      <c r="G16" s="10">
        <v>6.31</v>
      </c>
      <c r="H16">
        <f t="shared" si="2"/>
        <v>8</v>
      </c>
      <c r="I16" t="str">
        <f t="shared" si="0"/>
        <v>%humedad</v>
      </c>
      <c r="J16" t="str">
        <f t="shared" si="3"/>
        <v>✅ OK</v>
      </c>
      <c r="K16" t="str">
        <f t="shared" si="4"/>
        <v>🟢 OK</v>
      </c>
      <c r="L16" t="str">
        <f t="shared" si="5"/>
        <v>Almacenista</v>
      </c>
    </row>
    <row r="17" spans="1:12" x14ac:dyDescent="0.3">
      <c r="A17" t="str">
        <f t="shared" si="1"/>
        <v>KPI-016</v>
      </c>
      <c r="B17" s="2">
        <f>INDEX(Lotes!$B$2:$B$53,INT((ROW()-2)/6)+1)</f>
        <v>46109</v>
      </c>
      <c r="C17">
        <f>INDEX(Lotes!$C$2:$C$53,INT((ROW()-2)/6)+1)</f>
        <v>13</v>
      </c>
      <c r="D17" t="str">
        <f>INDEX(Lotes!$A$2:$A$53,INT((ROW()-2)/6)+1)</f>
        <v>RETEX-2024-003</v>
      </c>
      <c r="E17" t="str">
        <f>INDEX(Lotes!$D$2:$D$53,INT((ROW()-2)/6)+1)</f>
        <v>marzo</v>
      </c>
      <c r="F17" t="s">
        <v>109</v>
      </c>
      <c r="G17" s="10">
        <v>0.59</v>
      </c>
      <c r="H17">
        <f t="shared" si="2"/>
        <v>1</v>
      </c>
      <c r="I17" t="str">
        <f t="shared" si="0"/>
        <v>%retorno</v>
      </c>
      <c r="J17" t="str">
        <f t="shared" si="3"/>
        <v>✅ OK</v>
      </c>
      <c r="K17" t="str">
        <f t="shared" si="4"/>
        <v>🟢 OK</v>
      </c>
      <c r="L17" t="str">
        <f t="shared" si="5"/>
        <v>Gerente de Calidad</v>
      </c>
    </row>
    <row r="18" spans="1:12" x14ac:dyDescent="0.3">
      <c r="A18" t="str">
        <f t="shared" si="1"/>
        <v>KPI-017</v>
      </c>
      <c r="B18" s="2">
        <f>INDEX(Lotes!$B$2:$B$53,INT((ROW()-2)/6)+1)</f>
        <v>46109</v>
      </c>
      <c r="C18">
        <f>INDEX(Lotes!$C$2:$C$53,INT((ROW()-2)/6)+1)</f>
        <v>13</v>
      </c>
      <c r="D18" t="str">
        <f>INDEX(Lotes!$A$2:$A$53,INT((ROW()-2)/6)+1)</f>
        <v>RETEX-2024-003</v>
      </c>
      <c r="E18" t="str">
        <f>INDEX(Lotes!$D$2:$D$53,INT((ROW()-2)/6)+1)</f>
        <v>marzo</v>
      </c>
      <c r="F18" t="s">
        <v>110</v>
      </c>
      <c r="G18" s="10">
        <v>2.93</v>
      </c>
      <c r="H18">
        <f t="shared" si="2"/>
        <v>3</v>
      </c>
      <c r="I18" t="str">
        <f t="shared" si="0"/>
        <v>%error</v>
      </c>
      <c r="J18" t="str">
        <f t="shared" si="3"/>
        <v>✅ OK</v>
      </c>
      <c r="K18" t="str">
        <f t="shared" si="4"/>
        <v>🟡 PRECAUCIÓN</v>
      </c>
      <c r="L18" t="str">
        <f t="shared" si="5"/>
        <v>Supervisor</v>
      </c>
    </row>
    <row r="19" spans="1:12" x14ac:dyDescent="0.3">
      <c r="A19" t="str">
        <f t="shared" si="1"/>
        <v>KPI-018</v>
      </c>
      <c r="B19" s="2">
        <f>INDEX(Lotes!$B$2:$B$53,INT((ROW()-2)/6)+1)</f>
        <v>46109</v>
      </c>
      <c r="C19">
        <f>INDEX(Lotes!$C$2:$C$53,INT((ROW()-2)/6)+1)</f>
        <v>13</v>
      </c>
      <c r="D19" t="str">
        <f>INDEX(Lotes!$A$2:$A$53,INT((ROW()-2)/6)+1)</f>
        <v>RETEX-2024-003</v>
      </c>
      <c r="E19" t="str">
        <f>INDEX(Lotes!$D$2:$D$53,INT((ROW()-2)/6)+1)</f>
        <v>marzo</v>
      </c>
      <c r="F19" t="s">
        <v>111</v>
      </c>
      <c r="G19" s="10">
        <v>0.95</v>
      </c>
      <c r="H19">
        <f t="shared" si="2"/>
        <v>1</v>
      </c>
      <c r="I19" t="str">
        <f t="shared" si="0"/>
        <v>índice</v>
      </c>
      <c r="J19" t="str">
        <f t="shared" si="3"/>
        <v>❌ ALERTA</v>
      </c>
      <c r="K19" t="str">
        <f t="shared" si="4"/>
        <v>🔴 ALERTA</v>
      </c>
      <c r="L19" t="str">
        <f t="shared" si="5"/>
        <v>Ingeniero de Calidad</v>
      </c>
    </row>
    <row r="20" spans="1:12" x14ac:dyDescent="0.3">
      <c r="A20" t="str">
        <f t="shared" si="1"/>
        <v>KPI-019</v>
      </c>
      <c r="B20" s="2">
        <f>INDEX(Lotes!$B$2:$B$53,INT((ROW()-2)/6)+1)</f>
        <v>46116</v>
      </c>
      <c r="C20">
        <f>INDEX(Lotes!$C$2:$C$53,INT((ROW()-2)/6)+1)</f>
        <v>14</v>
      </c>
      <c r="D20" t="str">
        <f>INDEX(Lotes!$A$2:$A$53,INT((ROW()-2)/6)+1)</f>
        <v>RETEX-2024-004</v>
      </c>
      <c r="E20" t="str">
        <f>INDEX(Lotes!$D$2:$D$53,INT((ROW()-2)/6)+1)</f>
        <v>abril</v>
      </c>
      <c r="F20" t="s">
        <v>106</v>
      </c>
      <c r="G20" s="10">
        <v>96.39</v>
      </c>
      <c r="H20">
        <f t="shared" si="2"/>
        <v>96</v>
      </c>
      <c r="I20" t="str">
        <f t="shared" si="0"/>
        <v>%pureza</v>
      </c>
      <c r="J20" t="str">
        <f t="shared" si="3"/>
        <v>✅ OK</v>
      </c>
      <c r="K20" t="str">
        <f t="shared" si="4"/>
        <v>🟡 PRECAUCIÓN</v>
      </c>
      <c r="L20" t="str">
        <f t="shared" si="5"/>
        <v>Inspector de Calidad</v>
      </c>
    </row>
    <row r="21" spans="1:12" x14ac:dyDescent="0.3">
      <c r="A21" t="str">
        <f t="shared" si="1"/>
        <v>KPI-020</v>
      </c>
      <c r="B21" s="2">
        <f>INDEX(Lotes!$B$2:$B$53,INT((ROW()-2)/6)+1)</f>
        <v>46116</v>
      </c>
      <c r="C21">
        <f>INDEX(Lotes!$C$2:$C$53,INT((ROW()-2)/6)+1)</f>
        <v>14</v>
      </c>
      <c r="D21" t="str">
        <f>INDEX(Lotes!$A$2:$A$53,INT((ROW()-2)/6)+1)</f>
        <v>RETEX-2024-004</v>
      </c>
      <c r="E21" t="str">
        <f>INDEX(Lotes!$D$2:$D$53,INT((ROW()-2)/6)+1)</f>
        <v>abril</v>
      </c>
      <c r="F21" t="s">
        <v>107</v>
      </c>
      <c r="G21" s="10">
        <v>72.760000000000005</v>
      </c>
      <c r="H21">
        <f t="shared" si="2"/>
        <v>70</v>
      </c>
      <c r="I21" t="str">
        <f t="shared" si="0"/>
        <v>%rendimiento</v>
      </c>
      <c r="J21" t="str">
        <f t="shared" si="3"/>
        <v>✅ OK</v>
      </c>
      <c r="K21" t="str">
        <f t="shared" si="4"/>
        <v>🟡 PRECAUCIÓN</v>
      </c>
      <c r="L21" t="str">
        <f t="shared" si="5"/>
        <v>Coordinador de Planta</v>
      </c>
    </row>
    <row r="22" spans="1:12" x14ac:dyDescent="0.3">
      <c r="A22" t="str">
        <f t="shared" si="1"/>
        <v>KPI-021</v>
      </c>
      <c r="B22" s="2">
        <f>INDEX(Lotes!$B$2:$B$53,INT((ROW()-2)/6)+1)</f>
        <v>46116</v>
      </c>
      <c r="C22">
        <f>INDEX(Lotes!$C$2:$C$53,INT((ROW()-2)/6)+1)</f>
        <v>14</v>
      </c>
      <c r="D22" t="str">
        <f>INDEX(Lotes!$A$2:$A$53,INT((ROW()-2)/6)+1)</f>
        <v>RETEX-2024-004</v>
      </c>
      <c r="E22" t="str">
        <f>INDEX(Lotes!$D$2:$D$53,INT((ROW()-2)/6)+1)</f>
        <v>abril</v>
      </c>
      <c r="F22" t="s">
        <v>108</v>
      </c>
      <c r="G22" s="10">
        <v>7.24</v>
      </c>
      <c r="H22">
        <f t="shared" si="2"/>
        <v>8</v>
      </c>
      <c r="I22" t="str">
        <f t="shared" si="0"/>
        <v>%humedad</v>
      </c>
      <c r="J22" t="str">
        <f t="shared" si="3"/>
        <v>✅ OK</v>
      </c>
      <c r="K22" t="str">
        <f t="shared" si="4"/>
        <v>🟡 PRECAUCIÓN</v>
      </c>
      <c r="L22" t="str">
        <f t="shared" si="5"/>
        <v>Almacenista</v>
      </c>
    </row>
    <row r="23" spans="1:12" x14ac:dyDescent="0.3">
      <c r="A23" t="str">
        <f t="shared" si="1"/>
        <v>KPI-022</v>
      </c>
      <c r="B23" s="2">
        <f>INDEX(Lotes!$B$2:$B$53,INT((ROW()-2)/6)+1)</f>
        <v>46116</v>
      </c>
      <c r="C23">
        <f>INDEX(Lotes!$C$2:$C$53,INT((ROW()-2)/6)+1)</f>
        <v>14</v>
      </c>
      <c r="D23" t="str">
        <f>INDEX(Lotes!$A$2:$A$53,INT((ROW()-2)/6)+1)</f>
        <v>RETEX-2024-004</v>
      </c>
      <c r="E23" t="str">
        <f>INDEX(Lotes!$D$2:$D$53,INT((ROW()-2)/6)+1)</f>
        <v>abril</v>
      </c>
      <c r="F23" t="s">
        <v>109</v>
      </c>
      <c r="G23" s="10">
        <v>1.07</v>
      </c>
      <c r="H23">
        <f t="shared" si="2"/>
        <v>1</v>
      </c>
      <c r="I23" t="str">
        <f t="shared" si="0"/>
        <v>%retorno</v>
      </c>
      <c r="J23" t="str">
        <f t="shared" si="3"/>
        <v>❌ ALERTA</v>
      </c>
      <c r="K23" t="str">
        <f t="shared" si="4"/>
        <v>🔴 ALERTA</v>
      </c>
      <c r="L23" t="str">
        <f t="shared" si="5"/>
        <v>Gerente de Calidad</v>
      </c>
    </row>
    <row r="24" spans="1:12" x14ac:dyDescent="0.3">
      <c r="A24" t="str">
        <f t="shared" si="1"/>
        <v>KPI-023</v>
      </c>
      <c r="B24" s="2">
        <f>INDEX(Lotes!$B$2:$B$53,INT((ROW()-2)/6)+1)</f>
        <v>46116</v>
      </c>
      <c r="C24">
        <f>INDEX(Lotes!$C$2:$C$53,INT((ROW()-2)/6)+1)</f>
        <v>14</v>
      </c>
      <c r="D24" t="str">
        <f>INDEX(Lotes!$A$2:$A$53,INT((ROW()-2)/6)+1)</f>
        <v>RETEX-2024-004</v>
      </c>
      <c r="E24" t="str">
        <f>INDEX(Lotes!$D$2:$D$53,INT((ROW()-2)/6)+1)</f>
        <v>abril</v>
      </c>
      <c r="F24" t="s">
        <v>110</v>
      </c>
      <c r="G24" s="10">
        <v>2.06</v>
      </c>
      <c r="H24">
        <f t="shared" si="2"/>
        <v>3</v>
      </c>
      <c r="I24" t="str">
        <f t="shared" si="0"/>
        <v>%error</v>
      </c>
      <c r="J24" t="str">
        <f t="shared" si="3"/>
        <v>✅ OK</v>
      </c>
      <c r="K24" t="str">
        <f t="shared" si="4"/>
        <v>🟢 OK</v>
      </c>
      <c r="L24" t="str">
        <f t="shared" si="5"/>
        <v>Supervisor</v>
      </c>
    </row>
    <row r="25" spans="1:12" x14ac:dyDescent="0.3">
      <c r="A25" t="str">
        <f t="shared" si="1"/>
        <v>KPI-024</v>
      </c>
      <c r="B25" s="2">
        <f>INDEX(Lotes!$B$2:$B$53,INT((ROW()-2)/6)+1)</f>
        <v>46116</v>
      </c>
      <c r="C25">
        <f>INDEX(Lotes!$C$2:$C$53,INT((ROW()-2)/6)+1)</f>
        <v>14</v>
      </c>
      <c r="D25" t="str">
        <f>INDEX(Lotes!$A$2:$A$53,INT((ROW()-2)/6)+1)</f>
        <v>RETEX-2024-004</v>
      </c>
      <c r="E25" t="str">
        <f>INDEX(Lotes!$D$2:$D$53,INT((ROW()-2)/6)+1)</f>
        <v>abril</v>
      </c>
      <c r="F25" t="s">
        <v>111</v>
      </c>
      <c r="G25" s="10">
        <v>0.95</v>
      </c>
      <c r="H25">
        <f t="shared" si="2"/>
        <v>1</v>
      </c>
      <c r="I25" t="str">
        <f t="shared" si="0"/>
        <v>índice</v>
      </c>
      <c r="J25" t="str">
        <f t="shared" si="3"/>
        <v>❌ ALERTA</v>
      </c>
      <c r="K25" t="str">
        <f t="shared" si="4"/>
        <v>🔴 ALERTA</v>
      </c>
      <c r="L25" t="str">
        <f t="shared" si="5"/>
        <v>Ingeniero de Calidad</v>
      </c>
    </row>
    <row r="26" spans="1:12" x14ac:dyDescent="0.3">
      <c r="A26" t="str">
        <f t="shared" si="1"/>
        <v>KPI-025</v>
      </c>
      <c r="B26" s="2">
        <f>INDEX(Lotes!$B$2:$B$53,INT((ROW()-2)/6)+1)</f>
        <v>46123</v>
      </c>
      <c r="C26">
        <f>INDEX(Lotes!$C$2:$C$53,INT((ROW()-2)/6)+1)</f>
        <v>15</v>
      </c>
      <c r="D26" t="str">
        <f>INDEX(Lotes!$A$2:$A$53,INT((ROW()-2)/6)+1)</f>
        <v>RETEX-2024-005</v>
      </c>
      <c r="E26" t="str">
        <f>INDEX(Lotes!$D$2:$D$53,INT((ROW()-2)/6)+1)</f>
        <v>abril</v>
      </c>
      <c r="F26" t="s">
        <v>106</v>
      </c>
      <c r="G26" s="10">
        <v>98.32</v>
      </c>
      <c r="H26">
        <f t="shared" si="2"/>
        <v>96</v>
      </c>
      <c r="I26" t="str">
        <f t="shared" si="0"/>
        <v>%pureza</v>
      </c>
      <c r="J26" t="str">
        <f t="shared" si="3"/>
        <v>✅ OK</v>
      </c>
      <c r="K26" t="str">
        <f t="shared" si="4"/>
        <v>🟡 PRECAUCIÓN</v>
      </c>
      <c r="L26" t="str">
        <f t="shared" si="5"/>
        <v>Inspector de Calidad</v>
      </c>
    </row>
    <row r="27" spans="1:12" x14ac:dyDescent="0.3">
      <c r="A27" t="str">
        <f t="shared" si="1"/>
        <v>KPI-026</v>
      </c>
      <c r="B27" s="2">
        <f>INDEX(Lotes!$B$2:$B$53,INT((ROW()-2)/6)+1)</f>
        <v>46123</v>
      </c>
      <c r="C27">
        <f>INDEX(Lotes!$C$2:$C$53,INT((ROW()-2)/6)+1)</f>
        <v>15</v>
      </c>
      <c r="D27" t="str">
        <f>INDEX(Lotes!$A$2:$A$53,INT((ROW()-2)/6)+1)</f>
        <v>RETEX-2024-005</v>
      </c>
      <c r="E27" t="str">
        <f>INDEX(Lotes!$D$2:$D$53,INT((ROW()-2)/6)+1)</f>
        <v>abril</v>
      </c>
      <c r="F27" t="s">
        <v>107</v>
      </c>
      <c r="G27" s="10">
        <v>69.59</v>
      </c>
      <c r="H27">
        <f t="shared" si="2"/>
        <v>70</v>
      </c>
      <c r="I27" t="str">
        <f t="shared" si="0"/>
        <v>%rendimiento</v>
      </c>
      <c r="J27" t="str">
        <f t="shared" si="3"/>
        <v>❌ ALERTA</v>
      </c>
      <c r="K27" t="str">
        <f t="shared" si="4"/>
        <v>🔴 ALERTA</v>
      </c>
      <c r="L27" t="str">
        <f t="shared" si="5"/>
        <v>Coordinador de Planta</v>
      </c>
    </row>
    <row r="28" spans="1:12" x14ac:dyDescent="0.3">
      <c r="A28" t="str">
        <f t="shared" si="1"/>
        <v>KPI-027</v>
      </c>
      <c r="B28" s="2">
        <f>INDEX(Lotes!$B$2:$B$53,INT((ROW()-2)/6)+1)</f>
        <v>46123</v>
      </c>
      <c r="C28">
        <f>INDEX(Lotes!$C$2:$C$53,INT((ROW()-2)/6)+1)</f>
        <v>15</v>
      </c>
      <c r="D28" t="str">
        <f>INDEX(Lotes!$A$2:$A$53,INT((ROW()-2)/6)+1)</f>
        <v>RETEX-2024-005</v>
      </c>
      <c r="E28" t="str">
        <f>INDEX(Lotes!$D$2:$D$53,INT((ROW()-2)/6)+1)</f>
        <v>abril</v>
      </c>
      <c r="F28" t="s">
        <v>108</v>
      </c>
      <c r="G28" s="10">
        <v>6.75</v>
      </c>
      <c r="H28">
        <f t="shared" si="2"/>
        <v>8</v>
      </c>
      <c r="I28" t="str">
        <f t="shared" si="0"/>
        <v>%humedad</v>
      </c>
      <c r="J28" t="str">
        <f t="shared" si="3"/>
        <v>✅ OK</v>
      </c>
      <c r="K28" t="str">
        <f t="shared" si="4"/>
        <v>🟢 OK</v>
      </c>
      <c r="L28" t="str">
        <f t="shared" si="5"/>
        <v>Almacenista</v>
      </c>
    </row>
    <row r="29" spans="1:12" x14ac:dyDescent="0.3">
      <c r="A29" t="str">
        <f t="shared" si="1"/>
        <v>KPI-028</v>
      </c>
      <c r="B29" s="2">
        <f>INDEX(Lotes!$B$2:$B$53,INT((ROW()-2)/6)+1)</f>
        <v>46123</v>
      </c>
      <c r="C29">
        <f>INDEX(Lotes!$C$2:$C$53,INT((ROW()-2)/6)+1)</f>
        <v>15</v>
      </c>
      <c r="D29" t="str">
        <f>INDEX(Lotes!$A$2:$A$53,INT((ROW()-2)/6)+1)</f>
        <v>RETEX-2024-005</v>
      </c>
      <c r="E29" t="str">
        <f>INDEX(Lotes!$D$2:$D$53,INT((ROW()-2)/6)+1)</f>
        <v>abril</v>
      </c>
      <c r="F29" t="s">
        <v>109</v>
      </c>
      <c r="G29" s="10">
        <v>0.63</v>
      </c>
      <c r="H29">
        <f t="shared" si="2"/>
        <v>1</v>
      </c>
      <c r="I29" t="str">
        <f t="shared" si="0"/>
        <v>%retorno</v>
      </c>
      <c r="J29" t="str">
        <f t="shared" si="3"/>
        <v>✅ OK</v>
      </c>
      <c r="K29" t="str">
        <f t="shared" si="4"/>
        <v>🟢 OK</v>
      </c>
      <c r="L29" t="str">
        <f t="shared" si="5"/>
        <v>Gerente de Calidad</v>
      </c>
    </row>
    <row r="30" spans="1:12" x14ac:dyDescent="0.3">
      <c r="A30" t="str">
        <f t="shared" si="1"/>
        <v>KPI-029</v>
      </c>
      <c r="B30" s="2">
        <f>INDEX(Lotes!$B$2:$B$53,INT((ROW()-2)/6)+1)</f>
        <v>46123</v>
      </c>
      <c r="C30">
        <f>INDEX(Lotes!$C$2:$C$53,INT((ROW()-2)/6)+1)</f>
        <v>15</v>
      </c>
      <c r="D30" t="str">
        <f>INDEX(Lotes!$A$2:$A$53,INT((ROW()-2)/6)+1)</f>
        <v>RETEX-2024-005</v>
      </c>
      <c r="E30" t="str">
        <f>INDEX(Lotes!$D$2:$D$53,INT((ROW()-2)/6)+1)</f>
        <v>abril</v>
      </c>
      <c r="F30" t="s">
        <v>110</v>
      </c>
      <c r="G30" s="10">
        <v>2.13</v>
      </c>
      <c r="H30">
        <f t="shared" si="2"/>
        <v>3</v>
      </c>
      <c r="I30" t="str">
        <f t="shared" si="0"/>
        <v>%error</v>
      </c>
      <c r="J30" t="str">
        <f t="shared" si="3"/>
        <v>✅ OK</v>
      </c>
      <c r="K30" t="str">
        <f t="shared" si="4"/>
        <v>🟢 OK</v>
      </c>
      <c r="L30" t="str">
        <f t="shared" si="5"/>
        <v>Supervisor</v>
      </c>
    </row>
    <row r="31" spans="1:12" x14ac:dyDescent="0.3">
      <c r="A31" t="str">
        <f t="shared" si="1"/>
        <v>KPI-030</v>
      </c>
      <c r="B31" s="2">
        <f>INDEX(Lotes!$B$2:$B$53,INT((ROW()-2)/6)+1)</f>
        <v>46123</v>
      </c>
      <c r="C31">
        <f>INDEX(Lotes!$C$2:$C$53,INT((ROW()-2)/6)+1)</f>
        <v>15</v>
      </c>
      <c r="D31" t="str">
        <f>INDEX(Lotes!$A$2:$A$53,INT((ROW()-2)/6)+1)</f>
        <v>RETEX-2024-005</v>
      </c>
      <c r="E31" t="str">
        <f>INDEX(Lotes!$D$2:$D$53,INT((ROW()-2)/6)+1)</f>
        <v>abril</v>
      </c>
      <c r="F31" t="s">
        <v>111</v>
      </c>
      <c r="G31" s="10">
        <v>0.96</v>
      </c>
      <c r="H31">
        <f t="shared" si="2"/>
        <v>1</v>
      </c>
      <c r="I31" t="str">
        <f t="shared" si="0"/>
        <v>índice</v>
      </c>
      <c r="J31" t="str">
        <f t="shared" si="3"/>
        <v>❌ ALERTA</v>
      </c>
      <c r="K31" t="str">
        <f t="shared" si="4"/>
        <v>🔴 ALERTA</v>
      </c>
      <c r="L31" t="str">
        <f t="shared" si="5"/>
        <v>Ingeniero de Calidad</v>
      </c>
    </row>
    <row r="32" spans="1:12" x14ac:dyDescent="0.3">
      <c r="A32" t="str">
        <f t="shared" si="1"/>
        <v>KPI-031</v>
      </c>
      <c r="B32" s="2">
        <f>INDEX(Lotes!$B$2:$B$53,INT((ROW()-2)/6)+1)</f>
        <v>46130</v>
      </c>
      <c r="C32">
        <f>INDEX(Lotes!$C$2:$C$53,INT((ROW()-2)/6)+1)</f>
        <v>16</v>
      </c>
      <c r="D32" t="str">
        <f>INDEX(Lotes!$A$2:$A$53,INT((ROW()-2)/6)+1)</f>
        <v>RETEX-2024-006</v>
      </c>
      <c r="E32" t="str">
        <f>INDEX(Lotes!$D$2:$D$53,INT((ROW()-2)/6)+1)</f>
        <v>abril</v>
      </c>
      <c r="F32" t="s">
        <v>106</v>
      </c>
      <c r="G32" s="10">
        <v>98.09</v>
      </c>
      <c r="H32">
        <f t="shared" si="2"/>
        <v>96</v>
      </c>
      <c r="I32" t="str">
        <f t="shared" si="0"/>
        <v>%pureza</v>
      </c>
      <c r="J32" t="str">
        <f t="shared" si="3"/>
        <v>✅ OK</v>
      </c>
      <c r="K32" t="str">
        <f t="shared" si="4"/>
        <v>🟡 PRECAUCIÓN</v>
      </c>
      <c r="L32" t="str">
        <f t="shared" si="5"/>
        <v>Inspector de Calidad</v>
      </c>
    </row>
    <row r="33" spans="1:12" x14ac:dyDescent="0.3">
      <c r="A33" t="str">
        <f t="shared" si="1"/>
        <v>KPI-032</v>
      </c>
      <c r="B33" s="2">
        <f>INDEX(Lotes!$B$2:$B$53,INT((ROW()-2)/6)+1)</f>
        <v>46130</v>
      </c>
      <c r="C33">
        <f>INDEX(Lotes!$C$2:$C$53,INT((ROW()-2)/6)+1)</f>
        <v>16</v>
      </c>
      <c r="D33" t="str">
        <f>INDEX(Lotes!$A$2:$A$53,INT((ROW()-2)/6)+1)</f>
        <v>RETEX-2024-006</v>
      </c>
      <c r="E33" t="str">
        <f>INDEX(Lotes!$D$2:$D$53,INT((ROW()-2)/6)+1)</f>
        <v>abril</v>
      </c>
      <c r="F33" t="s">
        <v>107</v>
      </c>
      <c r="G33" s="10">
        <v>74.599999999999994</v>
      </c>
      <c r="H33">
        <f t="shared" si="2"/>
        <v>70</v>
      </c>
      <c r="I33" t="str">
        <f t="shared" si="0"/>
        <v>%rendimiento</v>
      </c>
      <c r="J33" t="str">
        <f t="shared" si="3"/>
        <v>✅ OK</v>
      </c>
      <c r="K33" t="str">
        <f t="shared" si="4"/>
        <v>🟢 OK</v>
      </c>
      <c r="L33" t="str">
        <f t="shared" si="5"/>
        <v>Coordinador de Planta</v>
      </c>
    </row>
    <row r="34" spans="1:12" x14ac:dyDescent="0.3">
      <c r="A34" t="str">
        <f t="shared" si="1"/>
        <v>KPI-033</v>
      </c>
      <c r="B34" s="2">
        <f>INDEX(Lotes!$B$2:$B$53,INT((ROW()-2)/6)+1)</f>
        <v>46130</v>
      </c>
      <c r="C34">
        <f>INDEX(Lotes!$C$2:$C$53,INT((ROW()-2)/6)+1)</f>
        <v>16</v>
      </c>
      <c r="D34" t="str">
        <f>INDEX(Lotes!$A$2:$A$53,INT((ROW()-2)/6)+1)</f>
        <v>RETEX-2024-006</v>
      </c>
      <c r="E34" t="str">
        <f>INDEX(Lotes!$D$2:$D$53,INT((ROW()-2)/6)+1)</f>
        <v>abril</v>
      </c>
      <c r="F34" t="s">
        <v>108</v>
      </c>
      <c r="G34" s="10">
        <v>4.1900000000000004</v>
      </c>
      <c r="H34">
        <f t="shared" si="2"/>
        <v>8</v>
      </c>
      <c r="I34" t="str">
        <f t="shared" si="0"/>
        <v>%humedad</v>
      </c>
      <c r="J34" t="str">
        <f t="shared" si="3"/>
        <v>✅ OK</v>
      </c>
      <c r="K34" t="str">
        <f t="shared" si="4"/>
        <v>🟢 OK</v>
      </c>
      <c r="L34" t="str">
        <f t="shared" si="5"/>
        <v>Almacenista</v>
      </c>
    </row>
    <row r="35" spans="1:12" x14ac:dyDescent="0.3">
      <c r="A35" t="str">
        <f t="shared" si="1"/>
        <v>KPI-034</v>
      </c>
      <c r="B35" s="2">
        <f>INDEX(Lotes!$B$2:$B$53,INT((ROW()-2)/6)+1)</f>
        <v>46130</v>
      </c>
      <c r="C35">
        <f>INDEX(Lotes!$C$2:$C$53,INT((ROW()-2)/6)+1)</f>
        <v>16</v>
      </c>
      <c r="D35" t="str">
        <f>INDEX(Lotes!$A$2:$A$53,INT((ROW()-2)/6)+1)</f>
        <v>RETEX-2024-006</v>
      </c>
      <c r="E35" t="str">
        <f>INDEX(Lotes!$D$2:$D$53,INT((ROW()-2)/6)+1)</f>
        <v>abril</v>
      </c>
      <c r="F35" t="s">
        <v>109</v>
      </c>
      <c r="G35" s="10">
        <v>1.04</v>
      </c>
      <c r="H35">
        <f t="shared" si="2"/>
        <v>1</v>
      </c>
      <c r="I35" t="str">
        <f t="shared" si="0"/>
        <v>%retorno</v>
      </c>
      <c r="J35" t="str">
        <f t="shared" si="3"/>
        <v>❌ ALERTA</v>
      </c>
      <c r="K35" t="str">
        <f t="shared" si="4"/>
        <v>🔴 ALERTA</v>
      </c>
      <c r="L35" t="str">
        <f t="shared" si="5"/>
        <v>Gerente de Calidad</v>
      </c>
    </row>
    <row r="36" spans="1:12" x14ac:dyDescent="0.3">
      <c r="A36" t="str">
        <f t="shared" si="1"/>
        <v>KPI-035</v>
      </c>
      <c r="B36" s="2">
        <f>INDEX(Lotes!$B$2:$B$53,INT((ROW()-2)/6)+1)</f>
        <v>46130</v>
      </c>
      <c r="C36">
        <f>INDEX(Lotes!$C$2:$C$53,INT((ROW()-2)/6)+1)</f>
        <v>16</v>
      </c>
      <c r="D36" t="str">
        <f>INDEX(Lotes!$A$2:$A$53,INT((ROW()-2)/6)+1)</f>
        <v>RETEX-2024-006</v>
      </c>
      <c r="E36" t="str">
        <f>INDEX(Lotes!$D$2:$D$53,INT((ROW()-2)/6)+1)</f>
        <v>abril</v>
      </c>
      <c r="F36" t="s">
        <v>110</v>
      </c>
      <c r="G36" s="10">
        <v>3.87</v>
      </c>
      <c r="H36">
        <f t="shared" si="2"/>
        <v>3</v>
      </c>
      <c r="I36" t="str">
        <f t="shared" si="0"/>
        <v>%error</v>
      </c>
      <c r="J36" t="str">
        <f t="shared" si="3"/>
        <v>❌ ALERTA</v>
      </c>
      <c r="K36" t="str">
        <f t="shared" si="4"/>
        <v>🔴 ALERTA</v>
      </c>
      <c r="L36" t="str">
        <f t="shared" si="5"/>
        <v>Supervisor</v>
      </c>
    </row>
    <row r="37" spans="1:12" x14ac:dyDescent="0.3">
      <c r="A37" t="str">
        <f t="shared" si="1"/>
        <v>KPI-036</v>
      </c>
      <c r="B37" s="2">
        <f>INDEX(Lotes!$B$2:$B$53,INT((ROW()-2)/6)+1)</f>
        <v>46130</v>
      </c>
      <c r="C37">
        <f>INDEX(Lotes!$C$2:$C$53,INT((ROW()-2)/6)+1)</f>
        <v>16</v>
      </c>
      <c r="D37" t="str">
        <f>INDEX(Lotes!$A$2:$A$53,INT((ROW()-2)/6)+1)</f>
        <v>RETEX-2024-006</v>
      </c>
      <c r="E37" t="str">
        <f>INDEX(Lotes!$D$2:$D$53,INT((ROW()-2)/6)+1)</f>
        <v>abril</v>
      </c>
      <c r="F37" t="s">
        <v>111</v>
      </c>
      <c r="G37" s="10">
        <v>1.0900000000000001</v>
      </c>
      <c r="H37">
        <f t="shared" si="2"/>
        <v>1</v>
      </c>
      <c r="I37" t="str">
        <f t="shared" si="0"/>
        <v>índice</v>
      </c>
      <c r="J37" t="str">
        <f t="shared" si="3"/>
        <v>✅ OK</v>
      </c>
      <c r="K37" t="str">
        <f t="shared" si="4"/>
        <v>🟢 OK</v>
      </c>
      <c r="L37" t="str">
        <f t="shared" si="5"/>
        <v>Ingeniero de Calidad</v>
      </c>
    </row>
    <row r="38" spans="1:12" x14ac:dyDescent="0.3">
      <c r="A38" t="str">
        <f t="shared" si="1"/>
        <v>KPI-037</v>
      </c>
      <c r="B38" s="2">
        <f>INDEX(Lotes!$B$2:$B$53,INT((ROW()-2)/6)+1)</f>
        <v>46137</v>
      </c>
      <c r="C38">
        <f>INDEX(Lotes!$C$2:$C$53,INT((ROW()-2)/6)+1)</f>
        <v>17</v>
      </c>
      <c r="D38" t="str">
        <f>INDEX(Lotes!$A$2:$A$53,INT((ROW()-2)/6)+1)</f>
        <v>RETEX-2024-007</v>
      </c>
      <c r="E38" t="str">
        <f>INDEX(Lotes!$D$2:$D$53,INT((ROW()-2)/6)+1)</f>
        <v>abril</v>
      </c>
      <c r="F38" t="s">
        <v>106</v>
      </c>
      <c r="G38" s="10">
        <v>96.53</v>
      </c>
      <c r="H38">
        <f t="shared" si="2"/>
        <v>96</v>
      </c>
      <c r="I38" t="str">
        <f t="shared" si="0"/>
        <v>%pureza</v>
      </c>
      <c r="J38" t="str">
        <f t="shared" si="3"/>
        <v>✅ OK</v>
      </c>
      <c r="K38" t="str">
        <f t="shared" si="4"/>
        <v>🟡 PRECAUCIÓN</v>
      </c>
      <c r="L38" t="str">
        <f t="shared" si="5"/>
        <v>Inspector de Calidad</v>
      </c>
    </row>
    <row r="39" spans="1:12" x14ac:dyDescent="0.3">
      <c r="A39" t="str">
        <f t="shared" si="1"/>
        <v>KPI-038</v>
      </c>
      <c r="B39" s="2">
        <f>INDEX(Lotes!$B$2:$B$53,INT((ROW()-2)/6)+1)</f>
        <v>46137</v>
      </c>
      <c r="C39">
        <f>INDEX(Lotes!$C$2:$C$53,INT((ROW()-2)/6)+1)</f>
        <v>17</v>
      </c>
      <c r="D39" t="str">
        <f>INDEX(Lotes!$A$2:$A$53,INT((ROW()-2)/6)+1)</f>
        <v>RETEX-2024-007</v>
      </c>
      <c r="E39" t="str">
        <f>INDEX(Lotes!$D$2:$D$53,INT((ROW()-2)/6)+1)</f>
        <v>abril</v>
      </c>
      <c r="F39" t="s">
        <v>107</v>
      </c>
      <c r="G39" s="10">
        <v>68.48</v>
      </c>
      <c r="H39">
        <f t="shared" si="2"/>
        <v>70</v>
      </c>
      <c r="I39" t="str">
        <f t="shared" si="0"/>
        <v>%rendimiento</v>
      </c>
      <c r="J39" t="str">
        <f t="shared" si="3"/>
        <v>❌ ALERTA</v>
      </c>
      <c r="K39" t="str">
        <f t="shared" si="4"/>
        <v>🔴 ALERTA</v>
      </c>
      <c r="L39" t="str">
        <f t="shared" si="5"/>
        <v>Coordinador de Planta</v>
      </c>
    </row>
    <row r="40" spans="1:12" x14ac:dyDescent="0.3">
      <c r="A40" t="str">
        <f t="shared" si="1"/>
        <v>KPI-039</v>
      </c>
      <c r="B40" s="2">
        <f>INDEX(Lotes!$B$2:$B$53,INT((ROW()-2)/6)+1)</f>
        <v>46137</v>
      </c>
      <c r="C40">
        <f>INDEX(Lotes!$C$2:$C$53,INT((ROW()-2)/6)+1)</f>
        <v>17</v>
      </c>
      <c r="D40" t="str">
        <f>INDEX(Lotes!$A$2:$A$53,INT((ROW()-2)/6)+1)</f>
        <v>RETEX-2024-007</v>
      </c>
      <c r="E40" t="str">
        <f>INDEX(Lotes!$D$2:$D$53,INT((ROW()-2)/6)+1)</f>
        <v>abril</v>
      </c>
      <c r="F40" t="s">
        <v>108</v>
      </c>
      <c r="G40" s="10">
        <v>6.29</v>
      </c>
      <c r="H40">
        <f t="shared" si="2"/>
        <v>8</v>
      </c>
      <c r="I40" t="str">
        <f t="shared" si="0"/>
        <v>%humedad</v>
      </c>
      <c r="J40" t="str">
        <f t="shared" si="3"/>
        <v>✅ OK</v>
      </c>
      <c r="K40" t="str">
        <f t="shared" si="4"/>
        <v>🟢 OK</v>
      </c>
      <c r="L40" t="str">
        <f t="shared" si="5"/>
        <v>Almacenista</v>
      </c>
    </row>
    <row r="41" spans="1:12" x14ac:dyDescent="0.3">
      <c r="A41" t="str">
        <f t="shared" si="1"/>
        <v>KPI-040</v>
      </c>
      <c r="B41" s="2">
        <f>INDEX(Lotes!$B$2:$B$53,INT((ROW()-2)/6)+1)</f>
        <v>46137</v>
      </c>
      <c r="C41">
        <f>INDEX(Lotes!$C$2:$C$53,INT((ROW()-2)/6)+1)</f>
        <v>17</v>
      </c>
      <c r="D41" t="str">
        <f>INDEX(Lotes!$A$2:$A$53,INT((ROW()-2)/6)+1)</f>
        <v>RETEX-2024-007</v>
      </c>
      <c r="E41" t="str">
        <f>INDEX(Lotes!$D$2:$D$53,INT((ROW()-2)/6)+1)</f>
        <v>abril</v>
      </c>
      <c r="F41" t="s">
        <v>109</v>
      </c>
      <c r="G41" s="10">
        <v>0.67</v>
      </c>
      <c r="H41">
        <f t="shared" si="2"/>
        <v>1</v>
      </c>
      <c r="I41" t="str">
        <f t="shared" si="0"/>
        <v>%retorno</v>
      </c>
      <c r="J41" t="str">
        <f t="shared" si="3"/>
        <v>✅ OK</v>
      </c>
      <c r="K41" t="str">
        <f t="shared" si="4"/>
        <v>🟢 OK</v>
      </c>
      <c r="L41" t="str">
        <f t="shared" si="5"/>
        <v>Gerente de Calidad</v>
      </c>
    </row>
    <row r="42" spans="1:12" x14ac:dyDescent="0.3">
      <c r="A42" t="str">
        <f t="shared" si="1"/>
        <v>KPI-041</v>
      </c>
      <c r="B42" s="2">
        <f>INDEX(Lotes!$B$2:$B$53,INT((ROW()-2)/6)+1)</f>
        <v>46137</v>
      </c>
      <c r="C42">
        <f>INDEX(Lotes!$C$2:$C$53,INT((ROW()-2)/6)+1)</f>
        <v>17</v>
      </c>
      <c r="D42" t="str">
        <f>INDEX(Lotes!$A$2:$A$53,INT((ROW()-2)/6)+1)</f>
        <v>RETEX-2024-007</v>
      </c>
      <c r="E42" t="str">
        <f>INDEX(Lotes!$D$2:$D$53,INT((ROW()-2)/6)+1)</f>
        <v>abril</v>
      </c>
      <c r="F42" t="s">
        <v>110</v>
      </c>
      <c r="G42" s="10">
        <v>2.61</v>
      </c>
      <c r="H42">
        <f t="shared" si="2"/>
        <v>3</v>
      </c>
      <c r="I42" t="str">
        <f t="shared" si="0"/>
        <v>%error</v>
      </c>
      <c r="J42" t="str">
        <f t="shared" si="3"/>
        <v>✅ OK</v>
      </c>
      <c r="K42" t="str">
        <f t="shared" si="4"/>
        <v>🟡 PRECAUCIÓN</v>
      </c>
      <c r="L42" t="str">
        <f t="shared" si="5"/>
        <v>Supervisor</v>
      </c>
    </row>
    <row r="43" spans="1:12" x14ac:dyDescent="0.3">
      <c r="A43" t="str">
        <f t="shared" si="1"/>
        <v>KPI-042</v>
      </c>
      <c r="B43" s="2">
        <f>INDEX(Lotes!$B$2:$B$53,INT((ROW()-2)/6)+1)</f>
        <v>46137</v>
      </c>
      <c r="C43">
        <f>INDEX(Lotes!$C$2:$C$53,INT((ROW()-2)/6)+1)</f>
        <v>17</v>
      </c>
      <c r="D43" t="str">
        <f>INDEX(Lotes!$A$2:$A$53,INT((ROW()-2)/6)+1)</f>
        <v>RETEX-2024-007</v>
      </c>
      <c r="E43" t="str">
        <f>INDEX(Lotes!$D$2:$D$53,INT((ROW()-2)/6)+1)</f>
        <v>abril</v>
      </c>
      <c r="F43" t="s">
        <v>111</v>
      </c>
      <c r="G43" s="10">
        <v>0.67</v>
      </c>
      <c r="H43">
        <f t="shared" si="2"/>
        <v>1</v>
      </c>
      <c r="I43" t="str">
        <f t="shared" si="0"/>
        <v>índice</v>
      </c>
      <c r="J43" t="str">
        <f t="shared" si="3"/>
        <v>❌ ALERTA</v>
      </c>
      <c r="K43" t="str">
        <f t="shared" si="4"/>
        <v>🔴 ALERTA</v>
      </c>
      <c r="L43" t="str">
        <f t="shared" si="5"/>
        <v>Ingeniero de Calidad</v>
      </c>
    </row>
    <row r="44" spans="1:12" x14ac:dyDescent="0.3">
      <c r="A44" t="str">
        <f t="shared" si="1"/>
        <v>KPI-043</v>
      </c>
      <c r="B44" s="2">
        <f>INDEX(Lotes!$B$2:$B$53,INT((ROW()-2)/6)+1)</f>
        <v>46144</v>
      </c>
      <c r="C44">
        <f>INDEX(Lotes!$C$2:$C$53,INT((ROW()-2)/6)+1)</f>
        <v>18</v>
      </c>
      <c r="D44" t="str">
        <f>INDEX(Lotes!$A$2:$A$53,INT((ROW()-2)/6)+1)</f>
        <v>RETEX-2024-008</v>
      </c>
      <c r="E44" t="str">
        <f>INDEX(Lotes!$D$2:$D$53,INT((ROW()-2)/6)+1)</f>
        <v>mayo</v>
      </c>
      <c r="F44" t="s">
        <v>106</v>
      </c>
      <c r="G44" s="10">
        <v>98.57</v>
      </c>
      <c r="H44">
        <f t="shared" si="2"/>
        <v>96</v>
      </c>
      <c r="I44" t="str">
        <f t="shared" si="0"/>
        <v>%pureza</v>
      </c>
      <c r="J44" t="str">
        <f t="shared" si="3"/>
        <v>✅ OK</v>
      </c>
      <c r="K44" t="str">
        <f t="shared" si="4"/>
        <v>🟡 PRECAUCIÓN</v>
      </c>
      <c r="L44" t="str">
        <f t="shared" si="5"/>
        <v>Inspector de Calidad</v>
      </c>
    </row>
    <row r="45" spans="1:12" x14ac:dyDescent="0.3">
      <c r="A45" t="str">
        <f t="shared" si="1"/>
        <v>KPI-044</v>
      </c>
      <c r="B45" s="2">
        <f>INDEX(Lotes!$B$2:$B$53,INT((ROW()-2)/6)+1)</f>
        <v>46144</v>
      </c>
      <c r="C45">
        <f>INDEX(Lotes!$C$2:$C$53,INT((ROW()-2)/6)+1)</f>
        <v>18</v>
      </c>
      <c r="D45" t="str">
        <f>INDEX(Lotes!$A$2:$A$53,INT((ROW()-2)/6)+1)</f>
        <v>RETEX-2024-008</v>
      </c>
      <c r="E45" t="str">
        <f>INDEX(Lotes!$D$2:$D$53,INT((ROW()-2)/6)+1)</f>
        <v>mayo</v>
      </c>
      <c r="F45" t="s">
        <v>107</v>
      </c>
      <c r="G45" s="10">
        <v>70.45</v>
      </c>
      <c r="H45">
        <f t="shared" si="2"/>
        <v>70</v>
      </c>
      <c r="I45" t="str">
        <f t="shared" si="0"/>
        <v>%rendimiento</v>
      </c>
      <c r="J45" t="str">
        <f t="shared" si="3"/>
        <v>✅ OK</v>
      </c>
      <c r="K45" t="str">
        <f t="shared" si="4"/>
        <v>🟡 PRECAUCIÓN</v>
      </c>
      <c r="L45" t="str">
        <f t="shared" si="5"/>
        <v>Coordinador de Planta</v>
      </c>
    </row>
    <row r="46" spans="1:12" x14ac:dyDescent="0.3">
      <c r="A46" t="str">
        <f t="shared" si="1"/>
        <v>KPI-045</v>
      </c>
      <c r="B46" s="2">
        <f>INDEX(Lotes!$B$2:$B$53,INT((ROW()-2)/6)+1)</f>
        <v>46144</v>
      </c>
      <c r="C46">
        <f>INDEX(Lotes!$C$2:$C$53,INT((ROW()-2)/6)+1)</f>
        <v>18</v>
      </c>
      <c r="D46" t="str">
        <f>INDEX(Lotes!$A$2:$A$53,INT((ROW()-2)/6)+1)</f>
        <v>RETEX-2024-008</v>
      </c>
      <c r="E46" t="str">
        <f>INDEX(Lotes!$D$2:$D$53,INT((ROW()-2)/6)+1)</f>
        <v>mayo</v>
      </c>
      <c r="F46" t="s">
        <v>108</v>
      </c>
      <c r="G46" s="10">
        <v>5.25</v>
      </c>
      <c r="H46">
        <f t="shared" si="2"/>
        <v>8</v>
      </c>
      <c r="I46" t="str">
        <f t="shared" si="0"/>
        <v>%humedad</v>
      </c>
      <c r="J46" t="str">
        <f t="shared" si="3"/>
        <v>✅ OK</v>
      </c>
      <c r="K46" t="str">
        <f t="shared" si="4"/>
        <v>🟢 OK</v>
      </c>
      <c r="L46" t="str">
        <f t="shared" si="5"/>
        <v>Almacenista</v>
      </c>
    </row>
    <row r="47" spans="1:12" x14ac:dyDescent="0.3">
      <c r="A47" t="str">
        <f t="shared" si="1"/>
        <v>KPI-046</v>
      </c>
      <c r="B47" s="2">
        <f>INDEX(Lotes!$B$2:$B$53,INT((ROW()-2)/6)+1)</f>
        <v>46144</v>
      </c>
      <c r="C47">
        <f>INDEX(Lotes!$C$2:$C$53,INT((ROW()-2)/6)+1)</f>
        <v>18</v>
      </c>
      <c r="D47" t="str">
        <f>INDEX(Lotes!$A$2:$A$53,INT((ROW()-2)/6)+1)</f>
        <v>RETEX-2024-008</v>
      </c>
      <c r="E47" t="str">
        <f>INDEX(Lotes!$D$2:$D$53,INT((ROW()-2)/6)+1)</f>
        <v>mayo</v>
      </c>
      <c r="F47" t="s">
        <v>109</v>
      </c>
      <c r="G47" s="10">
        <v>0.59</v>
      </c>
      <c r="H47">
        <f t="shared" si="2"/>
        <v>1</v>
      </c>
      <c r="I47" t="str">
        <f t="shared" si="0"/>
        <v>%retorno</v>
      </c>
      <c r="J47" t="str">
        <f t="shared" si="3"/>
        <v>✅ OK</v>
      </c>
      <c r="K47" t="str">
        <f t="shared" si="4"/>
        <v>🟢 OK</v>
      </c>
      <c r="L47" t="str">
        <f t="shared" si="5"/>
        <v>Gerente de Calidad</v>
      </c>
    </row>
    <row r="48" spans="1:12" x14ac:dyDescent="0.3">
      <c r="A48" t="str">
        <f t="shared" si="1"/>
        <v>KPI-047</v>
      </c>
      <c r="B48" s="2">
        <f>INDEX(Lotes!$B$2:$B$53,INT((ROW()-2)/6)+1)</f>
        <v>46144</v>
      </c>
      <c r="C48">
        <f>INDEX(Lotes!$C$2:$C$53,INT((ROW()-2)/6)+1)</f>
        <v>18</v>
      </c>
      <c r="D48" t="str">
        <f>INDEX(Lotes!$A$2:$A$53,INT((ROW()-2)/6)+1)</f>
        <v>RETEX-2024-008</v>
      </c>
      <c r="E48" t="str">
        <f>INDEX(Lotes!$D$2:$D$53,INT((ROW()-2)/6)+1)</f>
        <v>mayo</v>
      </c>
      <c r="F48" t="s">
        <v>110</v>
      </c>
      <c r="G48" s="10">
        <v>2.48</v>
      </c>
      <c r="H48">
        <f t="shared" si="2"/>
        <v>3</v>
      </c>
      <c r="I48" t="str">
        <f t="shared" si="0"/>
        <v>%error</v>
      </c>
      <c r="J48" t="str">
        <f t="shared" si="3"/>
        <v>✅ OK</v>
      </c>
      <c r="K48" t="str">
        <f t="shared" si="4"/>
        <v>🟢 OK</v>
      </c>
      <c r="L48" t="str">
        <f t="shared" si="5"/>
        <v>Supervisor</v>
      </c>
    </row>
    <row r="49" spans="1:12" x14ac:dyDescent="0.3">
      <c r="A49" t="str">
        <f t="shared" si="1"/>
        <v>KPI-048</v>
      </c>
      <c r="B49" s="2">
        <f>INDEX(Lotes!$B$2:$B$53,INT((ROW()-2)/6)+1)</f>
        <v>46144</v>
      </c>
      <c r="C49">
        <f>INDEX(Lotes!$C$2:$C$53,INT((ROW()-2)/6)+1)</f>
        <v>18</v>
      </c>
      <c r="D49" t="str">
        <f>INDEX(Lotes!$A$2:$A$53,INT((ROW()-2)/6)+1)</f>
        <v>RETEX-2024-008</v>
      </c>
      <c r="E49" t="str">
        <f>INDEX(Lotes!$D$2:$D$53,INT((ROW()-2)/6)+1)</f>
        <v>mayo</v>
      </c>
      <c r="F49" t="s">
        <v>111</v>
      </c>
      <c r="G49" s="10">
        <v>1</v>
      </c>
      <c r="H49">
        <f t="shared" si="2"/>
        <v>1</v>
      </c>
      <c r="I49" t="str">
        <f t="shared" si="0"/>
        <v>índice</v>
      </c>
      <c r="J49" t="str">
        <f t="shared" si="3"/>
        <v>✅ OK</v>
      </c>
      <c r="K49" t="str">
        <f t="shared" si="4"/>
        <v>🟡 PRECAUCIÓN</v>
      </c>
      <c r="L49" t="str">
        <f t="shared" si="5"/>
        <v>Ingeniero de Calidad</v>
      </c>
    </row>
    <row r="50" spans="1:12" x14ac:dyDescent="0.3">
      <c r="A50" t="str">
        <f t="shared" si="1"/>
        <v>KPI-049</v>
      </c>
      <c r="B50" s="2">
        <f>INDEX(Lotes!$B$2:$B$53,INT((ROW()-2)/6)+1)</f>
        <v>46151</v>
      </c>
      <c r="C50">
        <f>INDEX(Lotes!$C$2:$C$53,INT((ROW()-2)/6)+1)</f>
        <v>19</v>
      </c>
      <c r="D50" t="str">
        <f>INDEX(Lotes!$A$2:$A$53,INT((ROW()-2)/6)+1)</f>
        <v>RETEX-2024-009</v>
      </c>
      <c r="E50" t="str">
        <f>INDEX(Lotes!$D$2:$D$53,INT((ROW()-2)/6)+1)</f>
        <v>mayo</v>
      </c>
      <c r="F50" t="s">
        <v>106</v>
      </c>
      <c r="G50" s="10">
        <v>97.31</v>
      </c>
      <c r="H50">
        <f t="shared" si="2"/>
        <v>96</v>
      </c>
      <c r="I50" t="str">
        <f t="shared" si="0"/>
        <v>%pureza</v>
      </c>
      <c r="J50" t="str">
        <f t="shared" si="3"/>
        <v>✅ OK</v>
      </c>
      <c r="K50" t="str">
        <f t="shared" si="4"/>
        <v>🟡 PRECAUCIÓN</v>
      </c>
      <c r="L50" t="str">
        <f t="shared" si="5"/>
        <v>Inspector de Calidad</v>
      </c>
    </row>
    <row r="51" spans="1:12" x14ac:dyDescent="0.3">
      <c r="A51" t="str">
        <f t="shared" si="1"/>
        <v>KPI-050</v>
      </c>
      <c r="B51" s="2">
        <f>INDEX(Lotes!$B$2:$B$53,INT((ROW()-2)/6)+1)</f>
        <v>46151</v>
      </c>
      <c r="C51">
        <f>INDEX(Lotes!$C$2:$C$53,INT((ROW()-2)/6)+1)</f>
        <v>19</v>
      </c>
      <c r="D51" t="str">
        <f>INDEX(Lotes!$A$2:$A$53,INT((ROW()-2)/6)+1)</f>
        <v>RETEX-2024-009</v>
      </c>
      <c r="E51" t="str">
        <f>INDEX(Lotes!$D$2:$D$53,INT((ROW()-2)/6)+1)</f>
        <v>mayo</v>
      </c>
      <c r="F51" t="s">
        <v>107</v>
      </c>
      <c r="G51" s="10">
        <v>73.290000000000006</v>
      </c>
      <c r="H51">
        <f t="shared" si="2"/>
        <v>70</v>
      </c>
      <c r="I51" t="str">
        <f t="shared" si="0"/>
        <v>%rendimiento</v>
      </c>
      <c r="J51" t="str">
        <f t="shared" si="3"/>
        <v>✅ OK</v>
      </c>
      <c r="K51" t="str">
        <f t="shared" si="4"/>
        <v>🟡 PRECAUCIÓN</v>
      </c>
      <c r="L51" t="str">
        <f t="shared" si="5"/>
        <v>Coordinador de Planta</v>
      </c>
    </row>
    <row r="52" spans="1:12" x14ac:dyDescent="0.3">
      <c r="A52" t="str">
        <f t="shared" si="1"/>
        <v>KPI-051</v>
      </c>
      <c r="B52" s="2">
        <f>INDEX(Lotes!$B$2:$B$53,INT((ROW()-2)/6)+1)</f>
        <v>46151</v>
      </c>
      <c r="C52">
        <f>INDEX(Lotes!$C$2:$C$53,INT((ROW()-2)/6)+1)</f>
        <v>19</v>
      </c>
      <c r="D52" t="str">
        <f>INDEX(Lotes!$A$2:$A$53,INT((ROW()-2)/6)+1)</f>
        <v>RETEX-2024-009</v>
      </c>
      <c r="E52" t="str">
        <f>INDEX(Lotes!$D$2:$D$53,INT((ROW()-2)/6)+1)</f>
        <v>mayo</v>
      </c>
      <c r="F52" t="s">
        <v>108</v>
      </c>
      <c r="G52" s="10">
        <v>6.26</v>
      </c>
      <c r="H52">
        <f t="shared" si="2"/>
        <v>8</v>
      </c>
      <c r="I52" t="str">
        <f t="shared" si="0"/>
        <v>%humedad</v>
      </c>
      <c r="J52" t="str">
        <f t="shared" si="3"/>
        <v>✅ OK</v>
      </c>
      <c r="K52" t="str">
        <f t="shared" si="4"/>
        <v>🟢 OK</v>
      </c>
      <c r="L52" t="str">
        <f t="shared" si="5"/>
        <v>Almacenista</v>
      </c>
    </row>
    <row r="53" spans="1:12" x14ac:dyDescent="0.3">
      <c r="A53" t="str">
        <f t="shared" si="1"/>
        <v>KPI-052</v>
      </c>
      <c r="B53" s="2">
        <f>INDEX(Lotes!$B$2:$B$53,INT((ROW()-2)/6)+1)</f>
        <v>46151</v>
      </c>
      <c r="C53">
        <f>INDEX(Lotes!$C$2:$C$53,INT((ROW()-2)/6)+1)</f>
        <v>19</v>
      </c>
      <c r="D53" t="str">
        <f>INDEX(Lotes!$A$2:$A$53,INT((ROW()-2)/6)+1)</f>
        <v>RETEX-2024-009</v>
      </c>
      <c r="E53" t="str">
        <f>INDEX(Lotes!$D$2:$D$53,INT((ROW()-2)/6)+1)</f>
        <v>mayo</v>
      </c>
      <c r="F53" t="s">
        <v>109</v>
      </c>
      <c r="G53" s="10">
        <v>1.0900000000000001</v>
      </c>
      <c r="H53">
        <f t="shared" si="2"/>
        <v>1</v>
      </c>
      <c r="I53" t="str">
        <f t="shared" si="0"/>
        <v>%retorno</v>
      </c>
      <c r="J53" t="str">
        <f t="shared" si="3"/>
        <v>❌ ALERTA</v>
      </c>
      <c r="K53" t="str">
        <f t="shared" si="4"/>
        <v>🔴 ALERTA</v>
      </c>
      <c r="L53" t="str">
        <f t="shared" si="5"/>
        <v>Gerente de Calidad</v>
      </c>
    </row>
    <row r="54" spans="1:12" x14ac:dyDescent="0.3">
      <c r="A54" t="str">
        <f t="shared" si="1"/>
        <v>KPI-053</v>
      </c>
      <c r="B54" s="2">
        <f>INDEX(Lotes!$B$2:$B$53,INT((ROW()-2)/6)+1)</f>
        <v>46151</v>
      </c>
      <c r="C54">
        <f>INDEX(Lotes!$C$2:$C$53,INT((ROW()-2)/6)+1)</f>
        <v>19</v>
      </c>
      <c r="D54" t="str">
        <f>INDEX(Lotes!$A$2:$A$53,INT((ROW()-2)/6)+1)</f>
        <v>RETEX-2024-009</v>
      </c>
      <c r="E54" t="str">
        <f>INDEX(Lotes!$D$2:$D$53,INT((ROW()-2)/6)+1)</f>
        <v>mayo</v>
      </c>
      <c r="F54" t="s">
        <v>110</v>
      </c>
      <c r="G54" s="10">
        <v>2.2999999999999998</v>
      </c>
      <c r="H54">
        <f t="shared" si="2"/>
        <v>3</v>
      </c>
      <c r="I54" t="str">
        <f t="shared" si="0"/>
        <v>%error</v>
      </c>
      <c r="J54" t="str">
        <f t="shared" si="3"/>
        <v>✅ OK</v>
      </c>
      <c r="K54" t="str">
        <f t="shared" si="4"/>
        <v>🟢 OK</v>
      </c>
      <c r="L54" t="str">
        <f t="shared" si="5"/>
        <v>Supervisor</v>
      </c>
    </row>
    <row r="55" spans="1:12" x14ac:dyDescent="0.3">
      <c r="A55" t="str">
        <f t="shared" si="1"/>
        <v>KPI-054</v>
      </c>
      <c r="B55" s="2">
        <f>INDEX(Lotes!$B$2:$B$53,INT((ROW()-2)/6)+1)</f>
        <v>46151</v>
      </c>
      <c r="C55">
        <f>INDEX(Lotes!$C$2:$C$53,INT((ROW()-2)/6)+1)</f>
        <v>19</v>
      </c>
      <c r="D55" t="str">
        <f>INDEX(Lotes!$A$2:$A$53,INT((ROW()-2)/6)+1)</f>
        <v>RETEX-2024-009</v>
      </c>
      <c r="E55" t="str">
        <f>INDEX(Lotes!$D$2:$D$53,INT((ROW()-2)/6)+1)</f>
        <v>mayo</v>
      </c>
      <c r="F55" t="s">
        <v>111</v>
      </c>
      <c r="G55" s="10">
        <v>1.1100000000000001</v>
      </c>
      <c r="H55">
        <f t="shared" si="2"/>
        <v>1</v>
      </c>
      <c r="I55" t="str">
        <f t="shared" si="0"/>
        <v>índice</v>
      </c>
      <c r="J55" t="str">
        <f t="shared" si="3"/>
        <v>✅ OK</v>
      </c>
      <c r="K55" t="str">
        <f t="shared" si="4"/>
        <v>🟢 OK</v>
      </c>
      <c r="L55" t="str">
        <f t="shared" si="5"/>
        <v>Ingeniero de Calidad</v>
      </c>
    </row>
    <row r="56" spans="1:12" x14ac:dyDescent="0.3">
      <c r="A56" t="str">
        <f t="shared" si="1"/>
        <v>KPI-055</v>
      </c>
      <c r="B56" s="2">
        <f>INDEX(Lotes!$B$2:$B$53,INT((ROW()-2)/6)+1)</f>
        <v>46158</v>
      </c>
      <c r="C56">
        <f>INDEX(Lotes!$C$2:$C$53,INT((ROW()-2)/6)+1)</f>
        <v>20</v>
      </c>
      <c r="D56" t="str">
        <f>INDEX(Lotes!$A$2:$A$53,INT((ROW()-2)/6)+1)</f>
        <v>RETEX-2024-010</v>
      </c>
      <c r="E56" t="str">
        <f>INDEX(Lotes!$D$2:$D$53,INT((ROW()-2)/6)+1)</f>
        <v>mayo</v>
      </c>
      <c r="F56" t="s">
        <v>106</v>
      </c>
      <c r="G56" s="10">
        <v>98.83</v>
      </c>
      <c r="H56">
        <f t="shared" si="2"/>
        <v>96</v>
      </c>
      <c r="I56" t="str">
        <f t="shared" si="0"/>
        <v>%pureza</v>
      </c>
      <c r="J56" t="str">
        <f t="shared" si="3"/>
        <v>✅ OK</v>
      </c>
      <c r="K56" t="str">
        <f t="shared" si="4"/>
        <v>🟡 PRECAUCIÓN</v>
      </c>
      <c r="L56" t="str">
        <f t="shared" si="5"/>
        <v>Inspector de Calidad</v>
      </c>
    </row>
    <row r="57" spans="1:12" x14ac:dyDescent="0.3">
      <c r="A57" t="str">
        <f t="shared" si="1"/>
        <v>KPI-056</v>
      </c>
      <c r="B57" s="2">
        <f>INDEX(Lotes!$B$2:$B$53,INT((ROW()-2)/6)+1)</f>
        <v>46158</v>
      </c>
      <c r="C57">
        <f>INDEX(Lotes!$C$2:$C$53,INT((ROW()-2)/6)+1)</f>
        <v>20</v>
      </c>
      <c r="D57" t="str">
        <f>INDEX(Lotes!$A$2:$A$53,INT((ROW()-2)/6)+1)</f>
        <v>RETEX-2024-010</v>
      </c>
      <c r="E57" t="str">
        <f>INDEX(Lotes!$D$2:$D$53,INT((ROW()-2)/6)+1)</f>
        <v>mayo</v>
      </c>
      <c r="F57" t="s">
        <v>107</v>
      </c>
      <c r="G57" s="10">
        <v>73</v>
      </c>
      <c r="H57">
        <f t="shared" si="2"/>
        <v>70</v>
      </c>
      <c r="I57" t="str">
        <f t="shared" si="0"/>
        <v>%rendimiento</v>
      </c>
      <c r="J57" t="str">
        <f t="shared" si="3"/>
        <v>✅ OK</v>
      </c>
      <c r="K57" t="str">
        <f t="shared" si="4"/>
        <v>🟡 PRECAUCIÓN</v>
      </c>
      <c r="L57" t="str">
        <f t="shared" si="5"/>
        <v>Coordinador de Planta</v>
      </c>
    </row>
    <row r="58" spans="1:12" x14ac:dyDescent="0.3">
      <c r="A58" t="str">
        <f t="shared" si="1"/>
        <v>KPI-057</v>
      </c>
      <c r="B58" s="2">
        <f>INDEX(Lotes!$B$2:$B$53,INT((ROW()-2)/6)+1)</f>
        <v>46158</v>
      </c>
      <c r="C58">
        <f>INDEX(Lotes!$C$2:$C$53,INT((ROW()-2)/6)+1)</f>
        <v>20</v>
      </c>
      <c r="D58" t="str">
        <f>INDEX(Lotes!$A$2:$A$53,INT((ROW()-2)/6)+1)</f>
        <v>RETEX-2024-010</v>
      </c>
      <c r="E58" t="str">
        <f>INDEX(Lotes!$D$2:$D$53,INT((ROW()-2)/6)+1)</f>
        <v>mayo</v>
      </c>
      <c r="F58" t="s">
        <v>108</v>
      </c>
      <c r="G58" s="10">
        <v>6.42</v>
      </c>
      <c r="H58">
        <f t="shared" si="2"/>
        <v>8</v>
      </c>
      <c r="I58" t="str">
        <f t="shared" si="0"/>
        <v>%humedad</v>
      </c>
      <c r="J58" t="str">
        <f t="shared" si="3"/>
        <v>✅ OK</v>
      </c>
      <c r="K58" t="str">
        <f t="shared" si="4"/>
        <v>🟢 OK</v>
      </c>
      <c r="L58" t="str">
        <f t="shared" si="5"/>
        <v>Almacenista</v>
      </c>
    </row>
    <row r="59" spans="1:12" x14ac:dyDescent="0.3">
      <c r="A59" t="str">
        <f t="shared" si="1"/>
        <v>KPI-058</v>
      </c>
      <c r="B59" s="2">
        <f>INDEX(Lotes!$B$2:$B$53,INT((ROW()-2)/6)+1)</f>
        <v>46158</v>
      </c>
      <c r="C59">
        <f>INDEX(Lotes!$C$2:$C$53,INT((ROW()-2)/6)+1)</f>
        <v>20</v>
      </c>
      <c r="D59" t="str">
        <f>INDEX(Lotes!$A$2:$A$53,INT((ROW()-2)/6)+1)</f>
        <v>RETEX-2024-010</v>
      </c>
      <c r="E59" t="str">
        <f>INDEX(Lotes!$D$2:$D$53,INT((ROW()-2)/6)+1)</f>
        <v>mayo</v>
      </c>
      <c r="F59" t="s">
        <v>109</v>
      </c>
      <c r="G59" s="10">
        <v>1.06</v>
      </c>
      <c r="H59">
        <f t="shared" si="2"/>
        <v>1</v>
      </c>
      <c r="I59" t="str">
        <f t="shared" si="0"/>
        <v>%retorno</v>
      </c>
      <c r="J59" t="str">
        <f t="shared" si="3"/>
        <v>❌ ALERTA</v>
      </c>
      <c r="K59" t="str">
        <f t="shared" si="4"/>
        <v>🔴 ALERTA</v>
      </c>
      <c r="L59" t="str">
        <f t="shared" si="5"/>
        <v>Gerente de Calidad</v>
      </c>
    </row>
    <row r="60" spans="1:12" x14ac:dyDescent="0.3">
      <c r="A60" t="str">
        <f t="shared" si="1"/>
        <v>KPI-059</v>
      </c>
      <c r="B60" s="2">
        <f>INDEX(Lotes!$B$2:$B$53,INT((ROW()-2)/6)+1)</f>
        <v>46158</v>
      </c>
      <c r="C60">
        <f>INDEX(Lotes!$C$2:$C$53,INT((ROW()-2)/6)+1)</f>
        <v>20</v>
      </c>
      <c r="D60" t="str">
        <f>INDEX(Lotes!$A$2:$A$53,INT((ROW()-2)/6)+1)</f>
        <v>RETEX-2024-010</v>
      </c>
      <c r="E60" t="str">
        <f>INDEX(Lotes!$D$2:$D$53,INT((ROW()-2)/6)+1)</f>
        <v>mayo</v>
      </c>
      <c r="F60" t="s">
        <v>110</v>
      </c>
      <c r="G60" s="10">
        <v>2.89</v>
      </c>
      <c r="H60">
        <f t="shared" si="2"/>
        <v>3</v>
      </c>
      <c r="I60" t="str">
        <f t="shared" si="0"/>
        <v>%error</v>
      </c>
      <c r="J60" t="str">
        <f t="shared" si="3"/>
        <v>✅ OK</v>
      </c>
      <c r="K60" t="str">
        <f t="shared" si="4"/>
        <v>🟡 PRECAUCIÓN</v>
      </c>
      <c r="L60" t="str">
        <f t="shared" si="5"/>
        <v>Supervisor</v>
      </c>
    </row>
    <row r="61" spans="1:12" x14ac:dyDescent="0.3">
      <c r="A61" t="str">
        <f t="shared" si="1"/>
        <v>KPI-060</v>
      </c>
      <c r="B61" s="2">
        <f>INDEX(Lotes!$B$2:$B$53,INT((ROW()-2)/6)+1)</f>
        <v>46158</v>
      </c>
      <c r="C61">
        <f>INDEX(Lotes!$C$2:$C$53,INT((ROW()-2)/6)+1)</f>
        <v>20</v>
      </c>
      <c r="D61" t="str">
        <f>INDEX(Lotes!$A$2:$A$53,INT((ROW()-2)/6)+1)</f>
        <v>RETEX-2024-010</v>
      </c>
      <c r="E61" t="str">
        <f>INDEX(Lotes!$D$2:$D$53,INT((ROW()-2)/6)+1)</f>
        <v>mayo</v>
      </c>
      <c r="F61" t="s">
        <v>111</v>
      </c>
      <c r="G61" s="10">
        <v>0.95</v>
      </c>
      <c r="H61">
        <f t="shared" si="2"/>
        <v>1</v>
      </c>
      <c r="I61" t="str">
        <f t="shared" si="0"/>
        <v>índice</v>
      </c>
      <c r="J61" t="str">
        <f t="shared" si="3"/>
        <v>❌ ALERTA</v>
      </c>
      <c r="K61" t="str">
        <f t="shared" si="4"/>
        <v>🔴 ALERTA</v>
      </c>
      <c r="L61" t="str">
        <f t="shared" si="5"/>
        <v>Ingeniero de Calidad</v>
      </c>
    </row>
    <row r="62" spans="1:12" x14ac:dyDescent="0.3">
      <c r="A62" t="str">
        <f t="shared" si="1"/>
        <v>KPI-061</v>
      </c>
      <c r="B62" s="2">
        <f>INDEX(Lotes!$B$2:$B$53,INT((ROW()-2)/6)+1)</f>
        <v>46165</v>
      </c>
      <c r="C62">
        <f>INDEX(Lotes!$C$2:$C$53,INT((ROW()-2)/6)+1)</f>
        <v>21</v>
      </c>
      <c r="D62" t="str">
        <f>INDEX(Lotes!$A$2:$A$53,INT((ROW()-2)/6)+1)</f>
        <v>RETEX-2024-011</v>
      </c>
      <c r="E62" t="str">
        <f>INDEX(Lotes!$D$2:$D$53,INT((ROW()-2)/6)+1)</f>
        <v>mayo</v>
      </c>
      <c r="F62" t="s">
        <v>106</v>
      </c>
      <c r="G62" s="10">
        <v>95.98</v>
      </c>
      <c r="H62">
        <f t="shared" si="2"/>
        <v>96</v>
      </c>
      <c r="I62" t="str">
        <f t="shared" si="0"/>
        <v>%pureza</v>
      </c>
      <c r="J62" t="str">
        <f t="shared" si="3"/>
        <v>❌ ALERTA</v>
      </c>
      <c r="K62" t="str">
        <f t="shared" si="4"/>
        <v>🔴 ALERTA</v>
      </c>
      <c r="L62" t="str">
        <f t="shared" si="5"/>
        <v>Inspector de Calidad</v>
      </c>
    </row>
    <row r="63" spans="1:12" x14ac:dyDescent="0.3">
      <c r="A63" t="str">
        <f t="shared" si="1"/>
        <v>KPI-062</v>
      </c>
      <c r="B63" s="2">
        <f>INDEX(Lotes!$B$2:$B$53,INT((ROW()-2)/6)+1)</f>
        <v>46165</v>
      </c>
      <c r="C63">
        <f>INDEX(Lotes!$C$2:$C$53,INT((ROW()-2)/6)+1)</f>
        <v>21</v>
      </c>
      <c r="D63" t="str">
        <f>INDEX(Lotes!$A$2:$A$53,INT((ROW()-2)/6)+1)</f>
        <v>RETEX-2024-011</v>
      </c>
      <c r="E63" t="str">
        <f>INDEX(Lotes!$D$2:$D$53,INT((ROW()-2)/6)+1)</f>
        <v>mayo</v>
      </c>
      <c r="F63" t="s">
        <v>107</v>
      </c>
      <c r="G63" s="10">
        <v>67.13</v>
      </c>
      <c r="H63">
        <f t="shared" si="2"/>
        <v>70</v>
      </c>
      <c r="I63" t="str">
        <f t="shared" si="0"/>
        <v>%rendimiento</v>
      </c>
      <c r="J63" t="str">
        <f t="shared" si="3"/>
        <v>❌ ALERTA</v>
      </c>
      <c r="K63" t="str">
        <f t="shared" si="4"/>
        <v>🔴 ALERTA</v>
      </c>
      <c r="L63" t="str">
        <f t="shared" si="5"/>
        <v>Coordinador de Planta</v>
      </c>
    </row>
    <row r="64" spans="1:12" x14ac:dyDescent="0.3">
      <c r="A64" t="str">
        <f t="shared" si="1"/>
        <v>KPI-063</v>
      </c>
      <c r="B64" s="2">
        <f>INDEX(Lotes!$B$2:$B$53,INT((ROW()-2)/6)+1)</f>
        <v>46165</v>
      </c>
      <c r="C64">
        <f>INDEX(Lotes!$C$2:$C$53,INT((ROW()-2)/6)+1)</f>
        <v>21</v>
      </c>
      <c r="D64" t="str">
        <f>INDEX(Lotes!$A$2:$A$53,INT((ROW()-2)/6)+1)</f>
        <v>RETEX-2024-011</v>
      </c>
      <c r="E64" t="str">
        <f>INDEX(Lotes!$D$2:$D$53,INT((ROW()-2)/6)+1)</f>
        <v>mayo</v>
      </c>
      <c r="F64" t="s">
        <v>108</v>
      </c>
      <c r="G64" s="10">
        <v>6.52</v>
      </c>
      <c r="H64">
        <f t="shared" si="2"/>
        <v>8</v>
      </c>
      <c r="I64" t="str">
        <f t="shared" si="0"/>
        <v>%humedad</v>
      </c>
      <c r="J64" t="str">
        <f t="shared" si="3"/>
        <v>✅ OK</v>
      </c>
      <c r="K64" t="str">
        <f t="shared" si="4"/>
        <v>🟢 OK</v>
      </c>
      <c r="L64" t="str">
        <f t="shared" si="5"/>
        <v>Almacenista</v>
      </c>
    </row>
    <row r="65" spans="1:12" x14ac:dyDescent="0.3">
      <c r="A65" t="str">
        <f t="shared" si="1"/>
        <v>KPI-064</v>
      </c>
      <c r="B65" s="2">
        <f>INDEX(Lotes!$B$2:$B$53,INT((ROW()-2)/6)+1)</f>
        <v>46165</v>
      </c>
      <c r="C65">
        <f>INDEX(Lotes!$C$2:$C$53,INT((ROW()-2)/6)+1)</f>
        <v>21</v>
      </c>
      <c r="D65" t="str">
        <f>INDEX(Lotes!$A$2:$A$53,INT((ROW()-2)/6)+1)</f>
        <v>RETEX-2024-011</v>
      </c>
      <c r="E65" t="str">
        <f>INDEX(Lotes!$D$2:$D$53,INT((ROW()-2)/6)+1)</f>
        <v>mayo</v>
      </c>
      <c r="F65" t="s">
        <v>109</v>
      </c>
      <c r="G65" s="10">
        <v>0.36</v>
      </c>
      <c r="H65">
        <f t="shared" si="2"/>
        <v>1</v>
      </c>
      <c r="I65" t="str">
        <f t="shared" si="0"/>
        <v>%retorno</v>
      </c>
      <c r="J65" t="str">
        <f t="shared" si="3"/>
        <v>✅ OK</v>
      </c>
      <c r="K65" t="str">
        <f t="shared" si="4"/>
        <v>🟢 OK</v>
      </c>
      <c r="L65" t="str">
        <f t="shared" si="5"/>
        <v>Gerente de Calidad</v>
      </c>
    </row>
    <row r="66" spans="1:12" x14ac:dyDescent="0.3">
      <c r="A66" t="str">
        <f t="shared" si="1"/>
        <v>KPI-065</v>
      </c>
      <c r="B66" s="2">
        <f>INDEX(Lotes!$B$2:$B$53,INT((ROW()-2)/6)+1)</f>
        <v>46165</v>
      </c>
      <c r="C66">
        <f>INDEX(Lotes!$C$2:$C$53,INT((ROW()-2)/6)+1)</f>
        <v>21</v>
      </c>
      <c r="D66" t="str">
        <f>INDEX(Lotes!$A$2:$A$53,INT((ROW()-2)/6)+1)</f>
        <v>RETEX-2024-011</v>
      </c>
      <c r="E66" t="str">
        <f>INDEX(Lotes!$D$2:$D$53,INT((ROW()-2)/6)+1)</f>
        <v>mayo</v>
      </c>
      <c r="F66" t="s">
        <v>110</v>
      </c>
      <c r="G66" s="10">
        <v>2.08</v>
      </c>
      <c r="H66">
        <f t="shared" si="2"/>
        <v>3</v>
      </c>
      <c r="I66" t="str">
        <f t="shared" ref="I66:I129" si="6">IF(F66="IPL","%pureza",IF(F66="RS","%rendimiento",IF(F66="VH","%humedad",IF(F66="TR","%retorno",IF(F66="TEC","%error","índice")))))</f>
        <v>%error</v>
      </c>
      <c r="J66" t="str">
        <f t="shared" si="3"/>
        <v>✅ OK</v>
      </c>
      <c r="K66" t="str">
        <f t="shared" si="4"/>
        <v>🟢 OK</v>
      </c>
      <c r="L66" t="str">
        <f t="shared" si="5"/>
        <v>Supervisor</v>
      </c>
    </row>
    <row r="67" spans="1:12" x14ac:dyDescent="0.3">
      <c r="A67" t="str">
        <f t="shared" ref="A67:A130" si="7">"KPI-"&amp;TEXT(ROW()-1,"000")</f>
        <v>KPI-066</v>
      </c>
      <c r="B67" s="2">
        <f>INDEX(Lotes!$B$2:$B$53,INT((ROW()-2)/6)+1)</f>
        <v>46165</v>
      </c>
      <c r="C67">
        <f>INDEX(Lotes!$C$2:$C$53,INT((ROW()-2)/6)+1)</f>
        <v>21</v>
      </c>
      <c r="D67" t="str">
        <f>INDEX(Lotes!$A$2:$A$53,INT((ROW()-2)/6)+1)</f>
        <v>RETEX-2024-011</v>
      </c>
      <c r="E67" t="str">
        <f>INDEX(Lotes!$D$2:$D$53,INT((ROW()-2)/6)+1)</f>
        <v>mayo</v>
      </c>
      <c r="F67" t="s">
        <v>111</v>
      </c>
      <c r="G67" s="10">
        <v>0.76</v>
      </c>
      <c r="H67">
        <f t="shared" ref="H67:H130" si="8">IF(F67="IPL",96,IF(F67="RS",70,IF(F67="VH",8,IF(F67="TR",1,IF(F67="TEC",3,1)))))</f>
        <v>1</v>
      </c>
      <c r="I67" t="str">
        <f t="shared" si="6"/>
        <v>índice</v>
      </c>
      <c r="J67" t="str">
        <f t="shared" ref="J67:J130" si="9">IF(OR(F67="IPL",F67="RS",F67="Cpk_Mensual"),IF(G67&lt;H67,"❌ ALERTA","✅ OK"),IF(G67&gt;H67,"❌ ALERTA","✅ OK"))</f>
        <v>❌ ALERTA</v>
      </c>
      <c r="K67" t="str">
        <f t="shared" ref="K67:K130" si="10">IF(OR(F67="IPL",F67="RS",F67="Cpk_Mensual"),IF(G67&lt;H67,"🔴 ALERTA",IF(G67&lt;H67*1.05,"🟡 PRECAUCIÓN","🟢 OK")),IF(G67&gt;H67,"🔴 ALERTA",IF(G67&gt;H67*0.85,"🟡 PRECAUCIÓN","🟢 OK")))</f>
        <v>🔴 ALERTA</v>
      </c>
      <c r="L67" t="str">
        <f t="shared" ref="L67:L130" si="11">IF(F67="IPL","Inspector de Calidad",IF(F67="RS","Coordinador de Planta",IF(F67="VH","Almacenista",IF(F67="TR","Gerente de Calidad",IF(F67="TEC","Supervisor","Ingeniero de Calidad")))))</f>
        <v>Ingeniero de Calidad</v>
      </c>
    </row>
    <row r="68" spans="1:12" x14ac:dyDescent="0.3">
      <c r="A68" t="str">
        <f t="shared" si="7"/>
        <v>KPI-067</v>
      </c>
      <c r="B68" s="2">
        <f>INDEX(Lotes!$B$2:$B$53,INT((ROW()-2)/6)+1)</f>
        <v>46172</v>
      </c>
      <c r="C68">
        <f>INDEX(Lotes!$C$2:$C$53,INT((ROW()-2)/6)+1)</f>
        <v>22</v>
      </c>
      <c r="D68" t="str">
        <f>INDEX(Lotes!$A$2:$A$53,INT((ROW()-2)/6)+1)</f>
        <v>RETEX-2024-012</v>
      </c>
      <c r="E68" t="str">
        <f>INDEX(Lotes!$D$2:$D$53,INT((ROW()-2)/6)+1)</f>
        <v>mayo</v>
      </c>
      <c r="F68" t="s">
        <v>106</v>
      </c>
      <c r="G68" s="10">
        <v>97.22</v>
      </c>
      <c r="H68">
        <f t="shared" si="8"/>
        <v>96</v>
      </c>
      <c r="I68" t="str">
        <f t="shared" si="6"/>
        <v>%pureza</v>
      </c>
      <c r="J68" t="str">
        <f t="shared" si="9"/>
        <v>✅ OK</v>
      </c>
      <c r="K68" t="str">
        <f t="shared" si="10"/>
        <v>🟡 PRECAUCIÓN</v>
      </c>
      <c r="L68" t="str">
        <f t="shared" si="11"/>
        <v>Inspector de Calidad</v>
      </c>
    </row>
    <row r="69" spans="1:12" x14ac:dyDescent="0.3">
      <c r="A69" t="str">
        <f t="shared" si="7"/>
        <v>KPI-068</v>
      </c>
      <c r="B69" s="2">
        <f>INDEX(Lotes!$B$2:$B$53,INT((ROW()-2)/6)+1)</f>
        <v>46172</v>
      </c>
      <c r="C69">
        <f>INDEX(Lotes!$C$2:$C$53,INT((ROW()-2)/6)+1)</f>
        <v>22</v>
      </c>
      <c r="D69" t="str">
        <f>INDEX(Lotes!$A$2:$A$53,INT((ROW()-2)/6)+1)</f>
        <v>RETEX-2024-012</v>
      </c>
      <c r="E69" t="str">
        <f>INDEX(Lotes!$D$2:$D$53,INT((ROW()-2)/6)+1)</f>
        <v>mayo</v>
      </c>
      <c r="F69" t="s">
        <v>107</v>
      </c>
      <c r="G69" s="10">
        <v>70.540000000000006</v>
      </c>
      <c r="H69">
        <f t="shared" si="8"/>
        <v>70</v>
      </c>
      <c r="I69" t="str">
        <f t="shared" si="6"/>
        <v>%rendimiento</v>
      </c>
      <c r="J69" t="str">
        <f t="shared" si="9"/>
        <v>✅ OK</v>
      </c>
      <c r="K69" t="str">
        <f t="shared" si="10"/>
        <v>🟡 PRECAUCIÓN</v>
      </c>
      <c r="L69" t="str">
        <f t="shared" si="11"/>
        <v>Coordinador de Planta</v>
      </c>
    </row>
    <row r="70" spans="1:12" x14ac:dyDescent="0.3">
      <c r="A70" t="str">
        <f t="shared" si="7"/>
        <v>KPI-069</v>
      </c>
      <c r="B70" s="2">
        <f>INDEX(Lotes!$B$2:$B$53,INT((ROW()-2)/6)+1)</f>
        <v>46172</v>
      </c>
      <c r="C70">
        <f>INDEX(Lotes!$C$2:$C$53,INT((ROW()-2)/6)+1)</f>
        <v>22</v>
      </c>
      <c r="D70" t="str">
        <f>INDEX(Lotes!$A$2:$A$53,INT((ROW()-2)/6)+1)</f>
        <v>RETEX-2024-012</v>
      </c>
      <c r="E70" t="str">
        <f>INDEX(Lotes!$D$2:$D$53,INT((ROW()-2)/6)+1)</f>
        <v>mayo</v>
      </c>
      <c r="F70" t="s">
        <v>108</v>
      </c>
      <c r="G70" s="10">
        <v>7.53</v>
      </c>
      <c r="H70">
        <f t="shared" si="8"/>
        <v>8</v>
      </c>
      <c r="I70" t="str">
        <f t="shared" si="6"/>
        <v>%humedad</v>
      </c>
      <c r="J70" t="str">
        <f t="shared" si="9"/>
        <v>✅ OK</v>
      </c>
      <c r="K70" t="str">
        <f t="shared" si="10"/>
        <v>🟡 PRECAUCIÓN</v>
      </c>
      <c r="L70" t="str">
        <f t="shared" si="11"/>
        <v>Almacenista</v>
      </c>
    </row>
    <row r="71" spans="1:12" x14ac:dyDescent="0.3">
      <c r="A71" t="str">
        <f t="shared" si="7"/>
        <v>KPI-070</v>
      </c>
      <c r="B71" s="2">
        <f>INDEX(Lotes!$B$2:$B$53,INT((ROW()-2)/6)+1)</f>
        <v>46172</v>
      </c>
      <c r="C71">
        <f>INDEX(Lotes!$C$2:$C$53,INT((ROW()-2)/6)+1)</f>
        <v>22</v>
      </c>
      <c r="D71" t="str">
        <f>INDEX(Lotes!$A$2:$A$53,INT((ROW()-2)/6)+1)</f>
        <v>RETEX-2024-012</v>
      </c>
      <c r="E71" t="str">
        <f>INDEX(Lotes!$D$2:$D$53,INT((ROW()-2)/6)+1)</f>
        <v>mayo</v>
      </c>
      <c r="F71" t="s">
        <v>109</v>
      </c>
      <c r="G71" s="10">
        <v>1</v>
      </c>
      <c r="H71">
        <f t="shared" si="8"/>
        <v>1</v>
      </c>
      <c r="I71" t="str">
        <f t="shared" si="6"/>
        <v>%retorno</v>
      </c>
      <c r="J71" t="str">
        <f t="shared" si="9"/>
        <v>✅ OK</v>
      </c>
      <c r="K71" t="str">
        <f t="shared" si="10"/>
        <v>🟡 PRECAUCIÓN</v>
      </c>
      <c r="L71" t="str">
        <f t="shared" si="11"/>
        <v>Gerente de Calidad</v>
      </c>
    </row>
    <row r="72" spans="1:12" x14ac:dyDescent="0.3">
      <c r="A72" t="str">
        <f t="shared" si="7"/>
        <v>KPI-071</v>
      </c>
      <c r="B72" s="2">
        <f>INDEX(Lotes!$B$2:$B$53,INT((ROW()-2)/6)+1)</f>
        <v>46172</v>
      </c>
      <c r="C72">
        <f>INDEX(Lotes!$C$2:$C$53,INT((ROW()-2)/6)+1)</f>
        <v>22</v>
      </c>
      <c r="D72" t="str">
        <f>INDEX(Lotes!$A$2:$A$53,INT((ROW()-2)/6)+1)</f>
        <v>RETEX-2024-012</v>
      </c>
      <c r="E72" t="str">
        <f>INDEX(Lotes!$D$2:$D$53,INT((ROW()-2)/6)+1)</f>
        <v>mayo</v>
      </c>
      <c r="F72" t="s">
        <v>110</v>
      </c>
      <c r="G72" s="10">
        <v>2.2799999999999998</v>
      </c>
      <c r="H72">
        <f t="shared" si="8"/>
        <v>3</v>
      </c>
      <c r="I72" t="str">
        <f t="shared" si="6"/>
        <v>%error</v>
      </c>
      <c r="J72" t="str">
        <f t="shared" si="9"/>
        <v>✅ OK</v>
      </c>
      <c r="K72" t="str">
        <f t="shared" si="10"/>
        <v>🟢 OK</v>
      </c>
      <c r="L72" t="str">
        <f t="shared" si="11"/>
        <v>Supervisor</v>
      </c>
    </row>
    <row r="73" spans="1:12" x14ac:dyDescent="0.3">
      <c r="A73" t="str">
        <f t="shared" si="7"/>
        <v>KPI-072</v>
      </c>
      <c r="B73" s="2">
        <f>INDEX(Lotes!$B$2:$B$53,INT((ROW()-2)/6)+1)</f>
        <v>46172</v>
      </c>
      <c r="C73">
        <f>INDEX(Lotes!$C$2:$C$53,INT((ROW()-2)/6)+1)</f>
        <v>22</v>
      </c>
      <c r="D73" t="str">
        <f>INDEX(Lotes!$A$2:$A$53,INT((ROW()-2)/6)+1)</f>
        <v>RETEX-2024-012</v>
      </c>
      <c r="E73" t="str">
        <f>INDEX(Lotes!$D$2:$D$53,INT((ROW()-2)/6)+1)</f>
        <v>mayo</v>
      </c>
      <c r="F73" t="s">
        <v>111</v>
      </c>
      <c r="G73" s="10">
        <v>1.1000000000000001</v>
      </c>
      <c r="H73">
        <f t="shared" si="8"/>
        <v>1</v>
      </c>
      <c r="I73" t="str">
        <f t="shared" si="6"/>
        <v>índice</v>
      </c>
      <c r="J73" t="str">
        <f t="shared" si="9"/>
        <v>✅ OK</v>
      </c>
      <c r="K73" t="str">
        <f t="shared" si="10"/>
        <v>🟢 OK</v>
      </c>
      <c r="L73" t="str">
        <f t="shared" si="11"/>
        <v>Ingeniero de Calidad</v>
      </c>
    </row>
    <row r="74" spans="1:12" x14ac:dyDescent="0.3">
      <c r="A74" t="str">
        <f t="shared" si="7"/>
        <v>KPI-073</v>
      </c>
      <c r="B74" s="2">
        <f>INDEX(Lotes!$B$2:$B$53,INT((ROW()-2)/6)+1)</f>
        <v>46179</v>
      </c>
      <c r="C74">
        <f>INDEX(Lotes!$C$2:$C$53,INT((ROW()-2)/6)+1)</f>
        <v>23</v>
      </c>
      <c r="D74" t="str">
        <f>INDEX(Lotes!$A$2:$A$53,INT((ROW()-2)/6)+1)</f>
        <v>RETEX-2024-013</v>
      </c>
      <c r="E74" t="str">
        <f>INDEX(Lotes!$D$2:$D$53,INT((ROW()-2)/6)+1)</f>
        <v>junio</v>
      </c>
      <c r="F74" t="s">
        <v>106</v>
      </c>
      <c r="G74" s="10">
        <v>98.76</v>
      </c>
      <c r="H74">
        <f t="shared" si="8"/>
        <v>96</v>
      </c>
      <c r="I74" t="str">
        <f t="shared" si="6"/>
        <v>%pureza</v>
      </c>
      <c r="J74" t="str">
        <f t="shared" si="9"/>
        <v>✅ OK</v>
      </c>
      <c r="K74" t="str">
        <f t="shared" si="10"/>
        <v>🟡 PRECAUCIÓN</v>
      </c>
      <c r="L74" t="str">
        <f t="shared" si="11"/>
        <v>Inspector de Calidad</v>
      </c>
    </row>
    <row r="75" spans="1:12" x14ac:dyDescent="0.3">
      <c r="A75" t="str">
        <f t="shared" si="7"/>
        <v>KPI-074</v>
      </c>
      <c r="B75" s="2">
        <f>INDEX(Lotes!$B$2:$B$53,INT((ROW()-2)/6)+1)</f>
        <v>46179</v>
      </c>
      <c r="C75">
        <f>INDEX(Lotes!$C$2:$C$53,INT((ROW()-2)/6)+1)</f>
        <v>23</v>
      </c>
      <c r="D75" t="str">
        <f>INDEX(Lotes!$A$2:$A$53,INT((ROW()-2)/6)+1)</f>
        <v>RETEX-2024-013</v>
      </c>
      <c r="E75" t="str">
        <f>INDEX(Lotes!$D$2:$D$53,INT((ROW()-2)/6)+1)</f>
        <v>junio</v>
      </c>
      <c r="F75" t="s">
        <v>107</v>
      </c>
      <c r="G75" s="10">
        <v>77.400000000000006</v>
      </c>
      <c r="H75">
        <f t="shared" si="8"/>
        <v>70</v>
      </c>
      <c r="I75" t="str">
        <f t="shared" si="6"/>
        <v>%rendimiento</v>
      </c>
      <c r="J75" t="str">
        <f t="shared" si="9"/>
        <v>✅ OK</v>
      </c>
      <c r="K75" t="str">
        <f t="shared" si="10"/>
        <v>🟢 OK</v>
      </c>
      <c r="L75" t="str">
        <f t="shared" si="11"/>
        <v>Coordinador de Planta</v>
      </c>
    </row>
    <row r="76" spans="1:12" x14ac:dyDescent="0.3">
      <c r="A76" t="str">
        <f t="shared" si="7"/>
        <v>KPI-075</v>
      </c>
      <c r="B76" s="2">
        <f>INDEX(Lotes!$B$2:$B$53,INT((ROW()-2)/6)+1)</f>
        <v>46179</v>
      </c>
      <c r="C76">
        <f>INDEX(Lotes!$C$2:$C$53,INT((ROW()-2)/6)+1)</f>
        <v>23</v>
      </c>
      <c r="D76" t="str">
        <f>INDEX(Lotes!$A$2:$A$53,INT((ROW()-2)/6)+1)</f>
        <v>RETEX-2024-013</v>
      </c>
      <c r="E76" t="str">
        <f>INDEX(Lotes!$D$2:$D$53,INT((ROW()-2)/6)+1)</f>
        <v>junio</v>
      </c>
      <c r="F76" t="s">
        <v>108</v>
      </c>
      <c r="G76" s="10">
        <v>6.33</v>
      </c>
      <c r="H76">
        <f t="shared" si="8"/>
        <v>8</v>
      </c>
      <c r="I76" t="str">
        <f t="shared" si="6"/>
        <v>%humedad</v>
      </c>
      <c r="J76" t="str">
        <f t="shared" si="9"/>
        <v>✅ OK</v>
      </c>
      <c r="K76" t="str">
        <f t="shared" si="10"/>
        <v>🟢 OK</v>
      </c>
      <c r="L76" t="str">
        <f t="shared" si="11"/>
        <v>Almacenista</v>
      </c>
    </row>
    <row r="77" spans="1:12" x14ac:dyDescent="0.3">
      <c r="A77" t="str">
        <f t="shared" si="7"/>
        <v>KPI-076</v>
      </c>
      <c r="B77" s="2">
        <f>INDEX(Lotes!$B$2:$B$53,INT((ROW()-2)/6)+1)</f>
        <v>46179</v>
      </c>
      <c r="C77">
        <f>INDEX(Lotes!$C$2:$C$53,INT((ROW()-2)/6)+1)</f>
        <v>23</v>
      </c>
      <c r="D77" t="str">
        <f>INDEX(Lotes!$A$2:$A$53,INT((ROW()-2)/6)+1)</f>
        <v>RETEX-2024-013</v>
      </c>
      <c r="E77" t="str">
        <f>INDEX(Lotes!$D$2:$D$53,INT((ROW()-2)/6)+1)</f>
        <v>junio</v>
      </c>
      <c r="F77" t="s">
        <v>109</v>
      </c>
      <c r="G77" s="10">
        <v>0.03</v>
      </c>
      <c r="H77">
        <f t="shared" si="8"/>
        <v>1</v>
      </c>
      <c r="I77" t="str">
        <f t="shared" si="6"/>
        <v>%retorno</v>
      </c>
      <c r="J77" t="str">
        <f t="shared" si="9"/>
        <v>✅ OK</v>
      </c>
      <c r="K77" t="str">
        <f t="shared" si="10"/>
        <v>🟢 OK</v>
      </c>
      <c r="L77" t="str">
        <f t="shared" si="11"/>
        <v>Gerente de Calidad</v>
      </c>
    </row>
    <row r="78" spans="1:12" x14ac:dyDescent="0.3">
      <c r="A78" t="str">
        <f t="shared" si="7"/>
        <v>KPI-077</v>
      </c>
      <c r="B78" s="2">
        <f>INDEX(Lotes!$B$2:$B$53,INT((ROW()-2)/6)+1)</f>
        <v>46179</v>
      </c>
      <c r="C78">
        <f>INDEX(Lotes!$C$2:$C$53,INT((ROW()-2)/6)+1)</f>
        <v>23</v>
      </c>
      <c r="D78" t="str">
        <f>INDEX(Lotes!$A$2:$A$53,INT((ROW()-2)/6)+1)</f>
        <v>RETEX-2024-013</v>
      </c>
      <c r="E78" t="str">
        <f>INDEX(Lotes!$D$2:$D$53,INT((ROW()-2)/6)+1)</f>
        <v>junio</v>
      </c>
      <c r="F78" t="s">
        <v>110</v>
      </c>
      <c r="G78" s="10">
        <v>3.13</v>
      </c>
      <c r="H78">
        <f t="shared" si="8"/>
        <v>3</v>
      </c>
      <c r="I78" t="str">
        <f t="shared" si="6"/>
        <v>%error</v>
      </c>
      <c r="J78" t="str">
        <f t="shared" si="9"/>
        <v>❌ ALERTA</v>
      </c>
      <c r="K78" t="str">
        <f t="shared" si="10"/>
        <v>🔴 ALERTA</v>
      </c>
      <c r="L78" t="str">
        <f t="shared" si="11"/>
        <v>Supervisor</v>
      </c>
    </row>
    <row r="79" spans="1:12" x14ac:dyDescent="0.3">
      <c r="A79" t="str">
        <f t="shared" si="7"/>
        <v>KPI-078</v>
      </c>
      <c r="B79" s="2">
        <f>INDEX(Lotes!$B$2:$B$53,INT((ROW()-2)/6)+1)</f>
        <v>46179</v>
      </c>
      <c r="C79">
        <f>INDEX(Lotes!$C$2:$C$53,INT((ROW()-2)/6)+1)</f>
        <v>23</v>
      </c>
      <c r="D79" t="str">
        <f>INDEX(Lotes!$A$2:$A$53,INT((ROW()-2)/6)+1)</f>
        <v>RETEX-2024-013</v>
      </c>
      <c r="E79" t="str">
        <f>INDEX(Lotes!$D$2:$D$53,INT((ROW()-2)/6)+1)</f>
        <v>junio</v>
      </c>
      <c r="F79" t="s">
        <v>111</v>
      </c>
      <c r="G79" s="10">
        <v>0.89</v>
      </c>
      <c r="H79">
        <f t="shared" si="8"/>
        <v>1</v>
      </c>
      <c r="I79" t="str">
        <f t="shared" si="6"/>
        <v>índice</v>
      </c>
      <c r="J79" t="str">
        <f t="shared" si="9"/>
        <v>❌ ALERTA</v>
      </c>
      <c r="K79" t="str">
        <f t="shared" si="10"/>
        <v>🔴 ALERTA</v>
      </c>
      <c r="L79" t="str">
        <f t="shared" si="11"/>
        <v>Ingeniero de Calidad</v>
      </c>
    </row>
    <row r="80" spans="1:12" x14ac:dyDescent="0.3">
      <c r="A80" t="str">
        <f t="shared" si="7"/>
        <v>KPI-079</v>
      </c>
      <c r="B80" s="2">
        <f>INDEX(Lotes!$B$2:$B$53,INT((ROW()-2)/6)+1)</f>
        <v>46186</v>
      </c>
      <c r="C80">
        <f>INDEX(Lotes!$C$2:$C$53,INT((ROW()-2)/6)+1)</f>
        <v>24</v>
      </c>
      <c r="D80" t="str">
        <f>INDEX(Lotes!$A$2:$A$53,INT((ROW()-2)/6)+1)</f>
        <v>RETEX-2024-014</v>
      </c>
      <c r="E80" t="str">
        <f>INDEX(Lotes!$D$2:$D$53,INT((ROW()-2)/6)+1)</f>
        <v>junio</v>
      </c>
      <c r="F80" t="s">
        <v>106</v>
      </c>
      <c r="G80" s="10">
        <v>98.13</v>
      </c>
      <c r="H80">
        <f t="shared" si="8"/>
        <v>96</v>
      </c>
      <c r="I80" t="str">
        <f t="shared" si="6"/>
        <v>%pureza</v>
      </c>
      <c r="J80" t="str">
        <f t="shared" si="9"/>
        <v>✅ OK</v>
      </c>
      <c r="K80" t="str">
        <f t="shared" si="10"/>
        <v>🟡 PRECAUCIÓN</v>
      </c>
      <c r="L80" t="str">
        <f t="shared" si="11"/>
        <v>Inspector de Calidad</v>
      </c>
    </row>
    <row r="81" spans="1:12" x14ac:dyDescent="0.3">
      <c r="A81" t="str">
        <f t="shared" si="7"/>
        <v>KPI-080</v>
      </c>
      <c r="B81" s="2">
        <f>INDEX(Lotes!$B$2:$B$53,INT((ROW()-2)/6)+1)</f>
        <v>46186</v>
      </c>
      <c r="C81">
        <f>INDEX(Lotes!$C$2:$C$53,INT((ROW()-2)/6)+1)</f>
        <v>24</v>
      </c>
      <c r="D81" t="str">
        <f>INDEX(Lotes!$A$2:$A$53,INT((ROW()-2)/6)+1)</f>
        <v>RETEX-2024-014</v>
      </c>
      <c r="E81" t="str">
        <f>INDEX(Lotes!$D$2:$D$53,INT((ROW()-2)/6)+1)</f>
        <v>junio</v>
      </c>
      <c r="F81" t="s">
        <v>107</v>
      </c>
      <c r="G81" s="10">
        <v>72.739999999999995</v>
      </c>
      <c r="H81">
        <f t="shared" si="8"/>
        <v>70</v>
      </c>
      <c r="I81" t="str">
        <f t="shared" si="6"/>
        <v>%rendimiento</v>
      </c>
      <c r="J81" t="str">
        <f t="shared" si="9"/>
        <v>✅ OK</v>
      </c>
      <c r="K81" t="str">
        <f t="shared" si="10"/>
        <v>🟡 PRECAUCIÓN</v>
      </c>
      <c r="L81" t="str">
        <f t="shared" si="11"/>
        <v>Coordinador de Planta</v>
      </c>
    </row>
    <row r="82" spans="1:12" x14ac:dyDescent="0.3">
      <c r="A82" t="str">
        <f t="shared" si="7"/>
        <v>KPI-081</v>
      </c>
      <c r="B82" s="2">
        <f>INDEX(Lotes!$B$2:$B$53,INT((ROW()-2)/6)+1)</f>
        <v>46186</v>
      </c>
      <c r="C82">
        <f>INDEX(Lotes!$C$2:$C$53,INT((ROW()-2)/6)+1)</f>
        <v>24</v>
      </c>
      <c r="D82" t="str">
        <f>INDEX(Lotes!$A$2:$A$53,INT((ROW()-2)/6)+1)</f>
        <v>RETEX-2024-014</v>
      </c>
      <c r="E82" t="str">
        <f>INDEX(Lotes!$D$2:$D$53,INT((ROW()-2)/6)+1)</f>
        <v>junio</v>
      </c>
      <c r="F82" t="s">
        <v>108</v>
      </c>
      <c r="G82" s="10">
        <v>8.07</v>
      </c>
      <c r="H82">
        <f t="shared" si="8"/>
        <v>8</v>
      </c>
      <c r="I82" t="str">
        <f t="shared" si="6"/>
        <v>%humedad</v>
      </c>
      <c r="J82" t="str">
        <f t="shared" si="9"/>
        <v>❌ ALERTA</v>
      </c>
      <c r="K82" t="str">
        <f t="shared" si="10"/>
        <v>🔴 ALERTA</v>
      </c>
      <c r="L82" t="str">
        <f t="shared" si="11"/>
        <v>Almacenista</v>
      </c>
    </row>
    <row r="83" spans="1:12" x14ac:dyDescent="0.3">
      <c r="A83" t="str">
        <f t="shared" si="7"/>
        <v>KPI-082</v>
      </c>
      <c r="B83" s="2">
        <f>INDEX(Lotes!$B$2:$B$53,INT((ROW()-2)/6)+1)</f>
        <v>46186</v>
      </c>
      <c r="C83">
        <f>INDEX(Lotes!$C$2:$C$53,INT((ROW()-2)/6)+1)</f>
        <v>24</v>
      </c>
      <c r="D83" t="str">
        <f>INDEX(Lotes!$A$2:$A$53,INT((ROW()-2)/6)+1)</f>
        <v>RETEX-2024-014</v>
      </c>
      <c r="E83" t="str">
        <f>INDEX(Lotes!$D$2:$D$53,INT((ROW()-2)/6)+1)</f>
        <v>junio</v>
      </c>
      <c r="F83" t="s">
        <v>109</v>
      </c>
      <c r="G83" s="10">
        <v>0.9</v>
      </c>
      <c r="H83">
        <f t="shared" si="8"/>
        <v>1</v>
      </c>
      <c r="I83" t="str">
        <f t="shared" si="6"/>
        <v>%retorno</v>
      </c>
      <c r="J83" t="str">
        <f t="shared" si="9"/>
        <v>✅ OK</v>
      </c>
      <c r="K83" t="str">
        <f t="shared" si="10"/>
        <v>🟡 PRECAUCIÓN</v>
      </c>
      <c r="L83" t="str">
        <f t="shared" si="11"/>
        <v>Gerente de Calidad</v>
      </c>
    </row>
    <row r="84" spans="1:12" x14ac:dyDescent="0.3">
      <c r="A84" t="str">
        <f t="shared" si="7"/>
        <v>KPI-083</v>
      </c>
      <c r="B84" s="2">
        <f>INDEX(Lotes!$B$2:$B$53,INT((ROW()-2)/6)+1)</f>
        <v>46186</v>
      </c>
      <c r="C84">
        <f>INDEX(Lotes!$C$2:$C$53,INT((ROW()-2)/6)+1)</f>
        <v>24</v>
      </c>
      <c r="D84" t="str">
        <f>INDEX(Lotes!$A$2:$A$53,INT((ROW()-2)/6)+1)</f>
        <v>RETEX-2024-014</v>
      </c>
      <c r="E84" t="str">
        <f>INDEX(Lotes!$D$2:$D$53,INT((ROW()-2)/6)+1)</f>
        <v>junio</v>
      </c>
      <c r="F84" t="s">
        <v>110</v>
      </c>
      <c r="G84" s="10">
        <v>1.9</v>
      </c>
      <c r="H84">
        <f t="shared" si="8"/>
        <v>3</v>
      </c>
      <c r="I84" t="str">
        <f t="shared" si="6"/>
        <v>%error</v>
      </c>
      <c r="J84" t="str">
        <f t="shared" si="9"/>
        <v>✅ OK</v>
      </c>
      <c r="K84" t="str">
        <f t="shared" si="10"/>
        <v>🟢 OK</v>
      </c>
      <c r="L84" t="str">
        <f t="shared" si="11"/>
        <v>Supervisor</v>
      </c>
    </row>
    <row r="85" spans="1:12" x14ac:dyDescent="0.3">
      <c r="A85" t="str">
        <f t="shared" si="7"/>
        <v>KPI-084</v>
      </c>
      <c r="B85" s="2">
        <f>INDEX(Lotes!$B$2:$B$53,INT((ROW()-2)/6)+1)</f>
        <v>46186</v>
      </c>
      <c r="C85">
        <f>INDEX(Lotes!$C$2:$C$53,INT((ROW()-2)/6)+1)</f>
        <v>24</v>
      </c>
      <c r="D85" t="str">
        <f>INDEX(Lotes!$A$2:$A$53,INT((ROW()-2)/6)+1)</f>
        <v>RETEX-2024-014</v>
      </c>
      <c r="E85" t="str">
        <f>INDEX(Lotes!$D$2:$D$53,INT((ROW()-2)/6)+1)</f>
        <v>junio</v>
      </c>
      <c r="F85" t="s">
        <v>111</v>
      </c>
      <c r="G85" s="10">
        <v>0.87</v>
      </c>
      <c r="H85">
        <f t="shared" si="8"/>
        <v>1</v>
      </c>
      <c r="I85" t="str">
        <f t="shared" si="6"/>
        <v>índice</v>
      </c>
      <c r="J85" t="str">
        <f t="shared" si="9"/>
        <v>❌ ALERTA</v>
      </c>
      <c r="K85" t="str">
        <f t="shared" si="10"/>
        <v>🔴 ALERTA</v>
      </c>
      <c r="L85" t="str">
        <f t="shared" si="11"/>
        <v>Ingeniero de Calidad</v>
      </c>
    </row>
    <row r="86" spans="1:12" x14ac:dyDescent="0.3">
      <c r="A86" t="str">
        <f t="shared" si="7"/>
        <v>KPI-085</v>
      </c>
      <c r="B86" s="2">
        <f>INDEX(Lotes!$B$2:$B$53,INT((ROW()-2)/6)+1)</f>
        <v>46193</v>
      </c>
      <c r="C86">
        <f>INDEX(Lotes!$C$2:$C$53,INT((ROW()-2)/6)+1)</f>
        <v>25</v>
      </c>
      <c r="D86" t="str">
        <f>INDEX(Lotes!$A$2:$A$53,INT((ROW()-2)/6)+1)</f>
        <v>RETEX-2024-015</v>
      </c>
      <c r="E86" t="str">
        <f>INDEX(Lotes!$D$2:$D$53,INT((ROW()-2)/6)+1)</f>
        <v>junio</v>
      </c>
      <c r="F86" t="s">
        <v>106</v>
      </c>
      <c r="G86" s="10">
        <v>96.1</v>
      </c>
      <c r="H86">
        <f t="shared" si="8"/>
        <v>96</v>
      </c>
      <c r="I86" t="str">
        <f t="shared" si="6"/>
        <v>%pureza</v>
      </c>
      <c r="J86" t="str">
        <f t="shared" si="9"/>
        <v>✅ OK</v>
      </c>
      <c r="K86" t="str">
        <f t="shared" si="10"/>
        <v>🟡 PRECAUCIÓN</v>
      </c>
      <c r="L86" t="str">
        <f t="shared" si="11"/>
        <v>Inspector de Calidad</v>
      </c>
    </row>
    <row r="87" spans="1:12" x14ac:dyDescent="0.3">
      <c r="A87" t="str">
        <f t="shared" si="7"/>
        <v>KPI-086</v>
      </c>
      <c r="B87" s="2">
        <f>INDEX(Lotes!$B$2:$B$53,INT((ROW()-2)/6)+1)</f>
        <v>46193</v>
      </c>
      <c r="C87">
        <f>INDEX(Lotes!$C$2:$C$53,INT((ROW()-2)/6)+1)</f>
        <v>25</v>
      </c>
      <c r="D87" t="str">
        <f>INDEX(Lotes!$A$2:$A$53,INT((ROW()-2)/6)+1)</f>
        <v>RETEX-2024-015</v>
      </c>
      <c r="E87" t="str">
        <f>INDEX(Lotes!$D$2:$D$53,INT((ROW()-2)/6)+1)</f>
        <v>junio</v>
      </c>
      <c r="F87" t="s">
        <v>107</v>
      </c>
      <c r="G87" s="10">
        <v>67.849999999999994</v>
      </c>
      <c r="H87">
        <f t="shared" si="8"/>
        <v>70</v>
      </c>
      <c r="I87" t="str">
        <f t="shared" si="6"/>
        <v>%rendimiento</v>
      </c>
      <c r="J87" t="str">
        <f t="shared" si="9"/>
        <v>❌ ALERTA</v>
      </c>
      <c r="K87" t="str">
        <f t="shared" si="10"/>
        <v>🔴 ALERTA</v>
      </c>
      <c r="L87" t="str">
        <f t="shared" si="11"/>
        <v>Coordinador de Planta</v>
      </c>
    </row>
    <row r="88" spans="1:12" x14ac:dyDescent="0.3">
      <c r="A88" t="str">
        <f t="shared" si="7"/>
        <v>KPI-087</v>
      </c>
      <c r="B88" s="2">
        <f>INDEX(Lotes!$B$2:$B$53,INT((ROW()-2)/6)+1)</f>
        <v>46193</v>
      </c>
      <c r="C88">
        <f>INDEX(Lotes!$C$2:$C$53,INT((ROW()-2)/6)+1)</f>
        <v>25</v>
      </c>
      <c r="D88" t="str">
        <f>INDEX(Lotes!$A$2:$A$53,INT((ROW()-2)/6)+1)</f>
        <v>RETEX-2024-015</v>
      </c>
      <c r="E88" t="str">
        <f>INDEX(Lotes!$D$2:$D$53,INT((ROW()-2)/6)+1)</f>
        <v>junio</v>
      </c>
      <c r="F88" t="s">
        <v>108</v>
      </c>
      <c r="G88" s="10">
        <v>6.74</v>
      </c>
      <c r="H88">
        <f t="shared" si="8"/>
        <v>8</v>
      </c>
      <c r="I88" t="str">
        <f t="shared" si="6"/>
        <v>%humedad</v>
      </c>
      <c r="J88" t="str">
        <f t="shared" si="9"/>
        <v>✅ OK</v>
      </c>
      <c r="K88" t="str">
        <f t="shared" si="10"/>
        <v>🟢 OK</v>
      </c>
      <c r="L88" t="str">
        <f t="shared" si="11"/>
        <v>Almacenista</v>
      </c>
    </row>
    <row r="89" spans="1:12" x14ac:dyDescent="0.3">
      <c r="A89" t="str">
        <f t="shared" si="7"/>
        <v>KPI-088</v>
      </c>
      <c r="B89" s="2">
        <f>INDEX(Lotes!$B$2:$B$53,INT((ROW()-2)/6)+1)</f>
        <v>46193</v>
      </c>
      <c r="C89">
        <f>INDEX(Lotes!$C$2:$C$53,INT((ROW()-2)/6)+1)</f>
        <v>25</v>
      </c>
      <c r="D89" t="str">
        <f>INDEX(Lotes!$A$2:$A$53,INT((ROW()-2)/6)+1)</f>
        <v>RETEX-2024-015</v>
      </c>
      <c r="E89" t="str">
        <f>INDEX(Lotes!$D$2:$D$53,INT((ROW()-2)/6)+1)</f>
        <v>junio</v>
      </c>
      <c r="F89" t="s">
        <v>109</v>
      </c>
      <c r="G89" s="10">
        <v>1.07</v>
      </c>
      <c r="H89">
        <f t="shared" si="8"/>
        <v>1</v>
      </c>
      <c r="I89" t="str">
        <f t="shared" si="6"/>
        <v>%retorno</v>
      </c>
      <c r="J89" t="str">
        <f t="shared" si="9"/>
        <v>❌ ALERTA</v>
      </c>
      <c r="K89" t="str">
        <f t="shared" si="10"/>
        <v>🔴 ALERTA</v>
      </c>
      <c r="L89" t="str">
        <f t="shared" si="11"/>
        <v>Gerente de Calidad</v>
      </c>
    </row>
    <row r="90" spans="1:12" x14ac:dyDescent="0.3">
      <c r="A90" t="str">
        <f t="shared" si="7"/>
        <v>KPI-089</v>
      </c>
      <c r="B90" s="2">
        <f>INDEX(Lotes!$B$2:$B$53,INT((ROW()-2)/6)+1)</f>
        <v>46193</v>
      </c>
      <c r="C90">
        <f>INDEX(Lotes!$C$2:$C$53,INT((ROW()-2)/6)+1)</f>
        <v>25</v>
      </c>
      <c r="D90" t="str">
        <f>INDEX(Lotes!$A$2:$A$53,INT((ROW()-2)/6)+1)</f>
        <v>RETEX-2024-015</v>
      </c>
      <c r="E90" t="str">
        <f>INDEX(Lotes!$D$2:$D$53,INT((ROW()-2)/6)+1)</f>
        <v>junio</v>
      </c>
      <c r="F90" t="s">
        <v>110</v>
      </c>
      <c r="G90" s="10">
        <v>2.56</v>
      </c>
      <c r="H90">
        <f t="shared" si="8"/>
        <v>3</v>
      </c>
      <c r="I90" t="str">
        <f t="shared" si="6"/>
        <v>%error</v>
      </c>
      <c r="J90" t="str">
        <f t="shared" si="9"/>
        <v>✅ OK</v>
      </c>
      <c r="K90" t="str">
        <f t="shared" si="10"/>
        <v>🟡 PRECAUCIÓN</v>
      </c>
      <c r="L90" t="str">
        <f t="shared" si="11"/>
        <v>Supervisor</v>
      </c>
    </row>
    <row r="91" spans="1:12" x14ac:dyDescent="0.3">
      <c r="A91" t="str">
        <f t="shared" si="7"/>
        <v>KPI-090</v>
      </c>
      <c r="B91" s="2">
        <f>INDEX(Lotes!$B$2:$B$53,INT((ROW()-2)/6)+1)</f>
        <v>46193</v>
      </c>
      <c r="C91">
        <f>INDEX(Lotes!$C$2:$C$53,INT((ROW()-2)/6)+1)</f>
        <v>25</v>
      </c>
      <c r="D91" t="str">
        <f>INDEX(Lotes!$A$2:$A$53,INT((ROW()-2)/6)+1)</f>
        <v>RETEX-2024-015</v>
      </c>
      <c r="E91" t="str">
        <f>INDEX(Lotes!$D$2:$D$53,INT((ROW()-2)/6)+1)</f>
        <v>junio</v>
      </c>
      <c r="F91" t="s">
        <v>111</v>
      </c>
      <c r="G91" s="10">
        <v>1.01</v>
      </c>
      <c r="H91">
        <f t="shared" si="8"/>
        <v>1</v>
      </c>
      <c r="I91" t="str">
        <f t="shared" si="6"/>
        <v>índice</v>
      </c>
      <c r="J91" t="str">
        <f t="shared" si="9"/>
        <v>✅ OK</v>
      </c>
      <c r="K91" t="str">
        <f t="shared" si="10"/>
        <v>🟡 PRECAUCIÓN</v>
      </c>
      <c r="L91" t="str">
        <f t="shared" si="11"/>
        <v>Ingeniero de Calidad</v>
      </c>
    </row>
    <row r="92" spans="1:12" x14ac:dyDescent="0.3">
      <c r="A92" t="str">
        <f t="shared" si="7"/>
        <v>KPI-091</v>
      </c>
      <c r="B92" s="2">
        <f>INDEX(Lotes!$B$2:$B$53,INT((ROW()-2)/6)+1)</f>
        <v>46200</v>
      </c>
      <c r="C92">
        <f>INDEX(Lotes!$C$2:$C$53,INT((ROW()-2)/6)+1)</f>
        <v>26</v>
      </c>
      <c r="D92" t="str">
        <f>INDEX(Lotes!$A$2:$A$53,INT((ROW()-2)/6)+1)</f>
        <v>RETEX-2024-016</v>
      </c>
      <c r="E92" t="str">
        <f>INDEX(Lotes!$D$2:$D$53,INT((ROW()-2)/6)+1)</f>
        <v>junio</v>
      </c>
      <c r="F92" t="s">
        <v>106</v>
      </c>
      <c r="G92" s="10">
        <v>99.78</v>
      </c>
      <c r="H92">
        <f t="shared" si="8"/>
        <v>96</v>
      </c>
      <c r="I92" t="str">
        <f t="shared" si="6"/>
        <v>%pureza</v>
      </c>
      <c r="J92" t="str">
        <f t="shared" si="9"/>
        <v>✅ OK</v>
      </c>
      <c r="K92" t="str">
        <f t="shared" si="10"/>
        <v>🟡 PRECAUCIÓN</v>
      </c>
      <c r="L92" t="str">
        <f t="shared" si="11"/>
        <v>Inspector de Calidad</v>
      </c>
    </row>
    <row r="93" spans="1:12" x14ac:dyDescent="0.3">
      <c r="A93" t="str">
        <f t="shared" si="7"/>
        <v>KPI-092</v>
      </c>
      <c r="B93" s="2">
        <f>INDEX(Lotes!$B$2:$B$53,INT((ROW()-2)/6)+1)</f>
        <v>46200</v>
      </c>
      <c r="C93">
        <f>INDEX(Lotes!$C$2:$C$53,INT((ROW()-2)/6)+1)</f>
        <v>26</v>
      </c>
      <c r="D93" t="str">
        <f>INDEX(Lotes!$A$2:$A$53,INT((ROW()-2)/6)+1)</f>
        <v>RETEX-2024-016</v>
      </c>
      <c r="E93" t="str">
        <f>INDEX(Lotes!$D$2:$D$53,INT((ROW()-2)/6)+1)</f>
        <v>junio</v>
      </c>
      <c r="F93" t="s">
        <v>107</v>
      </c>
      <c r="G93" s="10">
        <v>70.900000000000006</v>
      </c>
      <c r="H93">
        <f t="shared" si="8"/>
        <v>70</v>
      </c>
      <c r="I93" t="str">
        <f t="shared" si="6"/>
        <v>%rendimiento</v>
      </c>
      <c r="J93" t="str">
        <f t="shared" si="9"/>
        <v>✅ OK</v>
      </c>
      <c r="K93" t="str">
        <f t="shared" si="10"/>
        <v>🟡 PRECAUCIÓN</v>
      </c>
      <c r="L93" t="str">
        <f t="shared" si="11"/>
        <v>Coordinador de Planta</v>
      </c>
    </row>
    <row r="94" spans="1:12" x14ac:dyDescent="0.3">
      <c r="A94" t="str">
        <f t="shared" si="7"/>
        <v>KPI-093</v>
      </c>
      <c r="B94" s="2">
        <f>INDEX(Lotes!$B$2:$B$53,INT((ROW()-2)/6)+1)</f>
        <v>46200</v>
      </c>
      <c r="C94">
        <f>INDEX(Lotes!$C$2:$C$53,INT((ROW()-2)/6)+1)</f>
        <v>26</v>
      </c>
      <c r="D94" t="str">
        <f>INDEX(Lotes!$A$2:$A$53,INT((ROW()-2)/6)+1)</f>
        <v>RETEX-2024-016</v>
      </c>
      <c r="E94" t="str">
        <f>INDEX(Lotes!$D$2:$D$53,INT((ROW()-2)/6)+1)</f>
        <v>junio</v>
      </c>
      <c r="F94" t="s">
        <v>108</v>
      </c>
      <c r="G94" s="10">
        <v>5.0599999999999996</v>
      </c>
      <c r="H94">
        <f t="shared" si="8"/>
        <v>8</v>
      </c>
      <c r="I94" t="str">
        <f t="shared" si="6"/>
        <v>%humedad</v>
      </c>
      <c r="J94" t="str">
        <f t="shared" si="9"/>
        <v>✅ OK</v>
      </c>
      <c r="K94" t="str">
        <f t="shared" si="10"/>
        <v>🟢 OK</v>
      </c>
      <c r="L94" t="str">
        <f t="shared" si="11"/>
        <v>Almacenista</v>
      </c>
    </row>
    <row r="95" spans="1:12" x14ac:dyDescent="0.3">
      <c r="A95" t="str">
        <f t="shared" si="7"/>
        <v>KPI-094</v>
      </c>
      <c r="B95" s="2">
        <f>INDEX(Lotes!$B$2:$B$53,INT((ROW()-2)/6)+1)</f>
        <v>46200</v>
      </c>
      <c r="C95">
        <f>INDEX(Lotes!$C$2:$C$53,INT((ROW()-2)/6)+1)</f>
        <v>26</v>
      </c>
      <c r="D95" t="str">
        <f>INDEX(Lotes!$A$2:$A$53,INT((ROW()-2)/6)+1)</f>
        <v>RETEX-2024-016</v>
      </c>
      <c r="E95" t="str">
        <f>INDEX(Lotes!$D$2:$D$53,INT((ROW()-2)/6)+1)</f>
        <v>junio</v>
      </c>
      <c r="F95" t="s">
        <v>109</v>
      </c>
      <c r="G95" s="10">
        <v>0.68</v>
      </c>
      <c r="H95">
        <f t="shared" si="8"/>
        <v>1</v>
      </c>
      <c r="I95" t="str">
        <f t="shared" si="6"/>
        <v>%retorno</v>
      </c>
      <c r="J95" t="str">
        <f t="shared" si="9"/>
        <v>✅ OK</v>
      </c>
      <c r="K95" t="str">
        <f t="shared" si="10"/>
        <v>🟢 OK</v>
      </c>
      <c r="L95" t="str">
        <f t="shared" si="11"/>
        <v>Gerente de Calidad</v>
      </c>
    </row>
    <row r="96" spans="1:12" x14ac:dyDescent="0.3">
      <c r="A96" t="str">
        <f t="shared" si="7"/>
        <v>KPI-095</v>
      </c>
      <c r="B96" s="2">
        <f>INDEX(Lotes!$B$2:$B$53,INT((ROW()-2)/6)+1)</f>
        <v>46200</v>
      </c>
      <c r="C96">
        <f>INDEX(Lotes!$C$2:$C$53,INT((ROW()-2)/6)+1)</f>
        <v>26</v>
      </c>
      <c r="D96" t="str">
        <f>INDEX(Lotes!$A$2:$A$53,INT((ROW()-2)/6)+1)</f>
        <v>RETEX-2024-016</v>
      </c>
      <c r="E96" t="str">
        <f>INDEX(Lotes!$D$2:$D$53,INT((ROW()-2)/6)+1)</f>
        <v>junio</v>
      </c>
      <c r="F96" t="s">
        <v>110</v>
      </c>
      <c r="G96" s="10">
        <v>2.3199999999999998</v>
      </c>
      <c r="H96">
        <f t="shared" si="8"/>
        <v>3</v>
      </c>
      <c r="I96" t="str">
        <f t="shared" si="6"/>
        <v>%error</v>
      </c>
      <c r="J96" t="str">
        <f t="shared" si="9"/>
        <v>✅ OK</v>
      </c>
      <c r="K96" t="str">
        <f t="shared" si="10"/>
        <v>🟢 OK</v>
      </c>
      <c r="L96" t="str">
        <f t="shared" si="11"/>
        <v>Supervisor</v>
      </c>
    </row>
    <row r="97" spans="1:12" x14ac:dyDescent="0.3">
      <c r="A97" t="str">
        <f t="shared" si="7"/>
        <v>KPI-096</v>
      </c>
      <c r="B97" s="2">
        <f>INDEX(Lotes!$B$2:$B$53,INT((ROW()-2)/6)+1)</f>
        <v>46200</v>
      </c>
      <c r="C97">
        <f>INDEX(Lotes!$C$2:$C$53,INT((ROW()-2)/6)+1)</f>
        <v>26</v>
      </c>
      <c r="D97" t="str">
        <f>INDEX(Lotes!$A$2:$A$53,INT((ROW()-2)/6)+1)</f>
        <v>RETEX-2024-016</v>
      </c>
      <c r="E97" t="str">
        <f>INDEX(Lotes!$D$2:$D$53,INT((ROW()-2)/6)+1)</f>
        <v>junio</v>
      </c>
      <c r="F97" t="s">
        <v>111</v>
      </c>
      <c r="G97" s="10">
        <v>1</v>
      </c>
      <c r="H97">
        <f t="shared" si="8"/>
        <v>1</v>
      </c>
      <c r="I97" t="str">
        <f t="shared" si="6"/>
        <v>índice</v>
      </c>
      <c r="J97" t="str">
        <f t="shared" si="9"/>
        <v>✅ OK</v>
      </c>
      <c r="K97" t="str">
        <f t="shared" si="10"/>
        <v>🟡 PRECAUCIÓN</v>
      </c>
      <c r="L97" t="str">
        <f t="shared" si="11"/>
        <v>Ingeniero de Calidad</v>
      </c>
    </row>
    <row r="98" spans="1:12" x14ac:dyDescent="0.3">
      <c r="A98" t="str">
        <f t="shared" si="7"/>
        <v>KPI-097</v>
      </c>
      <c r="B98" s="2">
        <f>INDEX(Lotes!$B$2:$B$53,INT((ROW()-2)/6)+1)</f>
        <v>46207</v>
      </c>
      <c r="C98">
        <f>INDEX(Lotes!$C$2:$C$53,INT((ROW()-2)/6)+1)</f>
        <v>27</v>
      </c>
      <c r="D98" t="str">
        <f>INDEX(Lotes!$A$2:$A$53,INT((ROW()-2)/6)+1)</f>
        <v>RETEX-2024-017</v>
      </c>
      <c r="E98" t="str">
        <f>INDEX(Lotes!$D$2:$D$53,INT((ROW()-2)/6)+1)</f>
        <v>julio</v>
      </c>
      <c r="F98" t="s">
        <v>106</v>
      </c>
      <c r="G98" s="10">
        <v>97.15</v>
      </c>
      <c r="H98">
        <f t="shared" si="8"/>
        <v>96</v>
      </c>
      <c r="I98" t="str">
        <f t="shared" si="6"/>
        <v>%pureza</v>
      </c>
      <c r="J98" t="str">
        <f t="shared" si="9"/>
        <v>✅ OK</v>
      </c>
      <c r="K98" t="str">
        <f t="shared" si="10"/>
        <v>🟡 PRECAUCIÓN</v>
      </c>
      <c r="L98" t="str">
        <f t="shared" si="11"/>
        <v>Inspector de Calidad</v>
      </c>
    </row>
    <row r="99" spans="1:12" x14ac:dyDescent="0.3">
      <c r="A99" t="str">
        <f t="shared" si="7"/>
        <v>KPI-098</v>
      </c>
      <c r="B99" s="2">
        <f>INDEX(Lotes!$B$2:$B$53,INT((ROW()-2)/6)+1)</f>
        <v>46207</v>
      </c>
      <c r="C99">
        <f>INDEX(Lotes!$C$2:$C$53,INT((ROW()-2)/6)+1)</f>
        <v>27</v>
      </c>
      <c r="D99" t="str">
        <f>INDEX(Lotes!$A$2:$A$53,INT((ROW()-2)/6)+1)</f>
        <v>RETEX-2024-017</v>
      </c>
      <c r="E99" t="str">
        <f>INDEX(Lotes!$D$2:$D$53,INT((ROW()-2)/6)+1)</f>
        <v>julio</v>
      </c>
      <c r="F99" t="s">
        <v>107</v>
      </c>
      <c r="G99" s="10">
        <v>67.59</v>
      </c>
      <c r="H99">
        <f t="shared" si="8"/>
        <v>70</v>
      </c>
      <c r="I99" t="str">
        <f t="shared" si="6"/>
        <v>%rendimiento</v>
      </c>
      <c r="J99" t="str">
        <f t="shared" si="9"/>
        <v>❌ ALERTA</v>
      </c>
      <c r="K99" t="str">
        <f t="shared" si="10"/>
        <v>🔴 ALERTA</v>
      </c>
      <c r="L99" t="str">
        <f t="shared" si="11"/>
        <v>Coordinador de Planta</v>
      </c>
    </row>
    <row r="100" spans="1:12" x14ac:dyDescent="0.3">
      <c r="A100" t="str">
        <f t="shared" si="7"/>
        <v>KPI-099</v>
      </c>
      <c r="B100" s="2">
        <f>INDEX(Lotes!$B$2:$B$53,INT((ROW()-2)/6)+1)</f>
        <v>46207</v>
      </c>
      <c r="C100">
        <f>INDEX(Lotes!$C$2:$C$53,INT((ROW()-2)/6)+1)</f>
        <v>27</v>
      </c>
      <c r="D100" t="str">
        <f>INDEX(Lotes!$A$2:$A$53,INT((ROW()-2)/6)+1)</f>
        <v>RETEX-2024-017</v>
      </c>
      <c r="E100" t="str">
        <f>INDEX(Lotes!$D$2:$D$53,INT((ROW()-2)/6)+1)</f>
        <v>julio</v>
      </c>
      <c r="F100" t="s">
        <v>108</v>
      </c>
      <c r="G100" s="10">
        <v>6.57</v>
      </c>
      <c r="H100">
        <f t="shared" si="8"/>
        <v>8</v>
      </c>
      <c r="I100" t="str">
        <f t="shared" si="6"/>
        <v>%humedad</v>
      </c>
      <c r="J100" t="str">
        <f t="shared" si="9"/>
        <v>✅ OK</v>
      </c>
      <c r="K100" t="str">
        <f t="shared" si="10"/>
        <v>🟢 OK</v>
      </c>
      <c r="L100" t="str">
        <f t="shared" si="11"/>
        <v>Almacenista</v>
      </c>
    </row>
    <row r="101" spans="1:12" x14ac:dyDescent="0.3">
      <c r="A101" t="str">
        <f t="shared" si="7"/>
        <v>KPI-100</v>
      </c>
      <c r="B101" s="2">
        <f>INDEX(Lotes!$B$2:$B$53,INT((ROW()-2)/6)+1)</f>
        <v>46207</v>
      </c>
      <c r="C101">
        <f>INDEX(Lotes!$C$2:$C$53,INT((ROW()-2)/6)+1)</f>
        <v>27</v>
      </c>
      <c r="D101" t="str">
        <f>INDEX(Lotes!$A$2:$A$53,INT((ROW()-2)/6)+1)</f>
        <v>RETEX-2024-017</v>
      </c>
      <c r="E101" t="str">
        <f>INDEX(Lotes!$D$2:$D$53,INT((ROW()-2)/6)+1)</f>
        <v>julio</v>
      </c>
      <c r="F101" t="s">
        <v>109</v>
      </c>
      <c r="G101" s="10">
        <v>0.47</v>
      </c>
      <c r="H101">
        <f t="shared" si="8"/>
        <v>1</v>
      </c>
      <c r="I101" t="str">
        <f t="shared" si="6"/>
        <v>%retorno</v>
      </c>
      <c r="J101" t="str">
        <f t="shared" si="9"/>
        <v>✅ OK</v>
      </c>
      <c r="K101" t="str">
        <f t="shared" si="10"/>
        <v>🟢 OK</v>
      </c>
      <c r="L101" t="str">
        <f t="shared" si="11"/>
        <v>Gerente de Calidad</v>
      </c>
    </row>
    <row r="102" spans="1:12" x14ac:dyDescent="0.3">
      <c r="A102" t="str">
        <f t="shared" si="7"/>
        <v>KPI-101</v>
      </c>
      <c r="B102" s="2">
        <f>INDEX(Lotes!$B$2:$B$53,INT((ROW()-2)/6)+1)</f>
        <v>46207</v>
      </c>
      <c r="C102">
        <f>INDEX(Lotes!$C$2:$C$53,INT((ROW()-2)/6)+1)</f>
        <v>27</v>
      </c>
      <c r="D102" t="str">
        <f>INDEX(Lotes!$A$2:$A$53,INT((ROW()-2)/6)+1)</f>
        <v>RETEX-2024-017</v>
      </c>
      <c r="E102" t="str">
        <f>INDEX(Lotes!$D$2:$D$53,INT((ROW()-2)/6)+1)</f>
        <v>julio</v>
      </c>
      <c r="F102" t="s">
        <v>110</v>
      </c>
      <c r="G102" s="10">
        <v>1.52</v>
      </c>
      <c r="H102">
        <f t="shared" si="8"/>
        <v>3</v>
      </c>
      <c r="I102" t="str">
        <f t="shared" si="6"/>
        <v>%error</v>
      </c>
      <c r="J102" t="str">
        <f t="shared" si="9"/>
        <v>✅ OK</v>
      </c>
      <c r="K102" t="str">
        <f t="shared" si="10"/>
        <v>🟢 OK</v>
      </c>
      <c r="L102" t="str">
        <f t="shared" si="11"/>
        <v>Supervisor</v>
      </c>
    </row>
    <row r="103" spans="1:12" x14ac:dyDescent="0.3">
      <c r="A103" t="str">
        <f t="shared" si="7"/>
        <v>KPI-102</v>
      </c>
      <c r="B103" s="2">
        <f>INDEX(Lotes!$B$2:$B$53,INT((ROW()-2)/6)+1)</f>
        <v>46207</v>
      </c>
      <c r="C103">
        <f>INDEX(Lotes!$C$2:$C$53,INT((ROW()-2)/6)+1)</f>
        <v>27</v>
      </c>
      <c r="D103" t="str">
        <f>INDEX(Lotes!$A$2:$A$53,INT((ROW()-2)/6)+1)</f>
        <v>RETEX-2024-017</v>
      </c>
      <c r="E103" t="str">
        <f>INDEX(Lotes!$D$2:$D$53,INT((ROW()-2)/6)+1)</f>
        <v>julio</v>
      </c>
      <c r="F103" t="s">
        <v>111</v>
      </c>
      <c r="G103" s="10">
        <v>0.85</v>
      </c>
      <c r="H103">
        <f t="shared" si="8"/>
        <v>1</v>
      </c>
      <c r="I103" t="str">
        <f t="shared" si="6"/>
        <v>índice</v>
      </c>
      <c r="J103" t="str">
        <f t="shared" si="9"/>
        <v>❌ ALERTA</v>
      </c>
      <c r="K103" t="str">
        <f t="shared" si="10"/>
        <v>🔴 ALERTA</v>
      </c>
      <c r="L103" t="str">
        <f t="shared" si="11"/>
        <v>Ingeniero de Calidad</v>
      </c>
    </row>
    <row r="104" spans="1:12" x14ac:dyDescent="0.3">
      <c r="A104" t="str">
        <f t="shared" si="7"/>
        <v>KPI-103</v>
      </c>
      <c r="B104" s="2">
        <f>INDEX(Lotes!$B$2:$B$53,INT((ROW()-2)/6)+1)</f>
        <v>46214</v>
      </c>
      <c r="C104">
        <f>INDEX(Lotes!$C$2:$C$53,INT((ROW()-2)/6)+1)</f>
        <v>28</v>
      </c>
      <c r="D104" t="str">
        <f>INDEX(Lotes!$A$2:$A$53,INT((ROW()-2)/6)+1)</f>
        <v>RETEX-2024-018</v>
      </c>
      <c r="E104" t="str">
        <f>INDEX(Lotes!$D$2:$D$53,INT((ROW()-2)/6)+1)</f>
        <v>julio</v>
      </c>
      <c r="F104" t="s">
        <v>106</v>
      </c>
      <c r="G104" s="10">
        <v>97</v>
      </c>
      <c r="H104">
        <f t="shared" si="8"/>
        <v>96</v>
      </c>
      <c r="I104" t="str">
        <f t="shared" si="6"/>
        <v>%pureza</v>
      </c>
      <c r="J104" t="str">
        <f t="shared" si="9"/>
        <v>✅ OK</v>
      </c>
      <c r="K104" t="str">
        <f t="shared" si="10"/>
        <v>🟡 PRECAUCIÓN</v>
      </c>
      <c r="L104" t="str">
        <f t="shared" si="11"/>
        <v>Inspector de Calidad</v>
      </c>
    </row>
    <row r="105" spans="1:12" x14ac:dyDescent="0.3">
      <c r="A105" t="str">
        <f t="shared" si="7"/>
        <v>KPI-104</v>
      </c>
      <c r="B105" s="2">
        <f>INDEX(Lotes!$B$2:$B$53,INT((ROW()-2)/6)+1)</f>
        <v>46214</v>
      </c>
      <c r="C105">
        <f>INDEX(Lotes!$C$2:$C$53,INT((ROW()-2)/6)+1)</f>
        <v>28</v>
      </c>
      <c r="D105" t="str">
        <f>INDEX(Lotes!$A$2:$A$53,INT((ROW()-2)/6)+1)</f>
        <v>RETEX-2024-018</v>
      </c>
      <c r="E105" t="str">
        <f>INDEX(Lotes!$D$2:$D$53,INT((ROW()-2)/6)+1)</f>
        <v>julio</v>
      </c>
      <c r="F105" t="s">
        <v>107</v>
      </c>
      <c r="G105" s="10">
        <v>71.38</v>
      </c>
      <c r="H105">
        <f t="shared" si="8"/>
        <v>70</v>
      </c>
      <c r="I105" t="str">
        <f t="shared" si="6"/>
        <v>%rendimiento</v>
      </c>
      <c r="J105" t="str">
        <f t="shared" si="9"/>
        <v>✅ OK</v>
      </c>
      <c r="K105" t="str">
        <f t="shared" si="10"/>
        <v>🟡 PRECAUCIÓN</v>
      </c>
      <c r="L105" t="str">
        <f t="shared" si="11"/>
        <v>Coordinador de Planta</v>
      </c>
    </row>
    <row r="106" spans="1:12" x14ac:dyDescent="0.3">
      <c r="A106" t="str">
        <f t="shared" si="7"/>
        <v>KPI-105</v>
      </c>
      <c r="B106" s="2">
        <f>INDEX(Lotes!$B$2:$B$53,INT((ROW()-2)/6)+1)</f>
        <v>46214</v>
      </c>
      <c r="C106">
        <f>INDEX(Lotes!$C$2:$C$53,INT((ROW()-2)/6)+1)</f>
        <v>28</v>
      </c>
      <c r="D106" t="str">
        <f>INDEX(Lotes!$A$2:$A$53,INT((ROW()-2)/6)+1)</f>
        <v>RETEX-2024-018</v>
      </c>
      <c r="E106" t="str">
        <f>INDEX(Lotes!$D$2:$D$53,INT((ROW()-2)/6)+1)</f>
        <v>julio</v>
      </c>
      <c r="F106" t="s">
        <v>108</v>
      </c>
      <c r="G106" s="10">
        <v>8.92</v>
      </c>
      <c r="H106">
        <f t="shared" si="8"/>
        <v>8</v>
      </c>
      <c r="I106" t="str">
        <f t="shared" si="6"/>
        <v>%humedad</v>
      </c>
      <c r="J106" t="str">
        <f t="shared" si="9"/>
        <v>❌ ALERTA</v>
      </c>
      <c r="K106" t="str">
        <f t="shared" si="10"/>
        <v>🔴 ALERTA</v>
      </c>
      <c r="L106" t="str">
        <f t="shared" si="11"/>
        <v>Almacenista</v>
      </c>
    </row>
    <row r="107" spans="1:12" x14ac:dyDescent="0.3">
      <c r="A107" t="str">
        <f t="shared" si="7"/>
        <v>KPI-106</v>
      </c>
      <c r="B107" s="2">
        <f>INDEX(Lotes!$B$2:$B$53,INT((ROW()-2)/6)+1)</f>
        <v>46214</v>
      </c>
      <c r="C107">
        <f>INDEX(Lotes!$C$2:$C$53,INT((ROW()-2)/6)+1)</f>
        <v>28</v>
      </c>
      <c r="D107" t="str">
        <f>INDEX(Lotes!$A$2:$A$53,INT((ROW()-2)/6)+1)</f>
        <v>RETEX-2024-018</v>
      </c>
      <c r="E107" t="str">
        <f>INDEX(Lotes!$D$2:$D$53,INT((ROW()-2)/6)+1)</f>
        <v>julio</v>
      </c>
      <c r="F107" t="s">
        <v>109</v>
      </c>
      <c r="G107" s="10">
        <v>0.93</v>
      </c>
      <c r="H107">
        <f t="shared" si="8"/>
        <v>1</v>
      </c>
      <c r="I107" t="str">
        <f t="shared" si="6"/>
        <v>%retorno</v>
      </c>
      <c r="J107" t="str">
        <f t="shared" si="9"/>
        <v>✅ OK</v>
      </c>
      <c r="K107" t="str">
        <f t="shared" si="10"/>
        <v>🟡 PRECAUCIÓN</v>
      </c>
      <c r="L107" t="str">
        <f t="shared" si="11"/>
        <v>Gerente de Calidad</v>
      </c>
    </row>
    <row r="108" spans="1:12" x14ac:dyDescent="0.3">
      <c r="A108" t="str">
        <f t="shared" si="7"/>
        <v>KPI-107</v>
      </c>
      <c r="B108" s="2">
        <f>INDEX(Lotes!$B$2:$B$53,INT((ROW()-2)/6)+1)</f>
        <v>46214</v>
      </c>
      <c r="C108">
        <f>INDEX(Lotes!$C$2:$C$53,INT((ROW()-2)/6)+1)</f>
        <v>28</v>
      </c>
      <c r="D108" t="str">
        <f>INDEX(Lotes!$A$2:$A$53,INT((ROW()-2)/6)+1)</f>
        <v>RETEX-2024-018</v>
      </c>
      <c r="E108" t="str">
        <f>INDEX(Lotes!$D$2:$D$53,INT((ROW()-2)/6)+1)</f>
        <v>julio</v>
      </c>
      <c r="F108" t="s">
        <v>110</v>
      </c>
      <c r="G108" s="10">
        <v>3.34</v>
      </c>
      <c r="H108">
        <f t="shared" si="8"/>
        <v>3</v>
      </c>
      <c r="I108" t="str">
        <f t="shared" si="6"/>
        <v>%error</v>
      </c>
      <c r="J108" t="str">
        <f t="shared" si="9"/>
        <v>❌ ALERTA</v>
      </c>
      <c r="K108" t="str">
        <f t="shared" si="10"/>
        <v>🔴 ALERTA</v>
      </c>
      <c r="L108" t="str">
        <f t="shared" si="11"/>
        <v>Supervisor</v>
      </c>
    </row>
    <row r="109" spans="1:12" x14ac:dyDescent="0.3">
      <c r="A109" t="str">
        <f t="shared" si="7"/>
        <v>KPI-108</v>
      </c>
      <c r="B109" s="2">
        <f>INDEX(Lotes!$B$2:$B$53,INT((ROW()-2)/6)+1)</f>
        <v>46214</v>
      </c>
      <c r="C109">
        <f>INDEX(Lotes!$C$2:$C$53,INT((ROW()-2)/6)+1)</f>
        <v>28</v>
      </c>
      <c r="D109" t="str">
        <f>INDEX(Lotes!$A$2:$A$53,INT((ROW()-2)/6)+1)</f>
        <v>RETEX-2024-018</v>
      </c>
      <c r="E109" t="str">
        <f>INDEX(Lotes!$D$2:$D$53,INT((ROW()-2)/6)+1)</f>
        <v>julio</v>
      </c>
      <c r="F109" t="s">
        <v>111</v>
      </c>
      <c r="G109" s="10">
        <v>0.43</v>
      </c>
      <c r="H109">
        <f t="shared" si="8"/>
        <v>1</v>
      </c>
      <c r="I109" t="str">
        <f t="shared" si="6"/>
        <v>índice</v>
      </c>
      <c r="J109" t="str">
        <f t="shared" si="9"/>
        <v>❌ ALERTA</v>
      </c>
      <c r="K109" t="str">
        <f t="shared" si="10"/>
        <v>🔴 ALERTA</v>
      </c>
      <c r="L109" t="str">
        <f t="shared" si="11"/>
        <v>Ingeniero de Calidad</v>
      </c>
    </row>
    <row r="110" spans="1:12" x14ac:dyDescent="0.3">
      <c r="A110" t="str">
        <f t="shared" si="7"/>
        <v>KPI-109</v>
      </c>
      <c r="B110" s="2">
        <f>INDEX(Lotes!$B$2:$B$53,INT((ROW()-2)/6)+1)</f>
        <v>46221</v>
      </c>
      <c r="C110">
        <f>INDEX(Lotes!$C$2:$C$53,INT((ROW()-2)/6)+1)</f>
        <v>29</v>
      </c>
      <c r="D110" t="str">
        <f>INDEX(Lotes!$A$2:$A$53,INT((ROW()-2)/6)+1)</f>
        <v>RETEX-2024-019</v>
      </c>
      <c r="E110" t="str">
        <f>INDEX(Lotes!$D$2:$D$53,INT((ROW()-2)/6)+1)</f>
        <v>julio</v>
      </c>
      <c r="F110" t="s">
        <v>106</v>
      </c>
      <c r="G110" s="10">
        <v>98.53</v>
      </c>
      <c r="H110">
        <f t="shared" si="8"/>
        <v>96</v>
      </c>
      <c r="I110" t="str">
        <f t="shared" si="6"/>
        <v>%pureza</v>
      </c>
      <c r="J110" t="str">
        <f t="shared" si="9"/>
        <v>✅ OK</v>
      </c>
      <c r="K110" t="str">
        <f t="shared" si="10"/>
        <v>🟡 PRECAUCIÓN</v>
      </c>
      <c r="L110" t="str">
        <f t="shared" si="11"/>
        <v>Inspector de Calidad</v>
      </c>
    </row>
    <row r="111" spans="1:12" x14ac:dyDescent="0.3">
      <c r="A111" t="str">
        <f t="shared" si="7"/>
        <v>KPI-110</v>
      </c>
      <c r="B111" s="2">
        <f>INDEX(Lotes!$B$2:$B$53,INT((ROW()-2)/6)+1)</f>
        <v>46221</v>
      </c>
      <c r="C111">
        <f>INDEX(Lotes!$C$2:$C$53,INT((ROW()-2)/6)+1)</f>
        <v>29</v>
      </c>
      <c r="D111" t="str">
        <f>INDEX(Lotes!$A$2:$A$53,INT((ROW()-2)/6)+1)</f>
        <v>RETEX-2024-019</v>
      </c>
      <c r="E111" t="str">
        <f>INDEX(Lotes!$D$2:$D$53,INT((ROW()-2)/6)+1)</f>
        <v>julio</v>
      </c>
      <c r="F111" t="s">
        <v>107</v>
      </c>
      <c r="G111" s="10">
        <v>72.67</v>
      </c>
      <c r="H111">
        <f t="shared" si="8"/>
        <v>70</v>
      </c>
      <c r="I111" t="str">
        <f t="shared" si="6"/>
        <v>%rendimiento</v>
      </c>
      <c r="J111" t="str">
        <f t="shared" si="9"/>
        <v>✅ OK</v>
      </c>
      <c r="K111" t="str">
        <f t="shared" si="10"/>
        <v>🟡 PRECAUCIÓN</v>
      </c>
      <c r="L111" t="str">
        <f t="shared" si="11"/>
        <v>Coordinador de Planta</v>
      </c>
    </row>
    <row r="112" spans="1:12" x14ac:dyDescent="0.3">
      <c r="A112" t="str">
        <f t="shared" si="7"/>
        <v>KPI-111</v>
      </c>
      <c r="B112" s="2">
        <f>INDEX(Lotes!$B$2:$B$53,INT((ROW()-2)/6)+1)</f>
        <v>46221</v>
      </c>
      <c r="C112">
        <f>INDEX(Lotes!$C$2:$C$53,INT((ROW()-2)/6)+1)</f>
        <v>29</v>
      </c>
      <c r="D112" t="str">
        <f>INDEX(Lotes!$A$2:$A$53,INT((ROW()-2)/6)+1)</f>
        <v>RETEX-2024-019</v>
      </c>
      <c r="E112" t="str">
        <f>INDEX(Lotes!$D$2:$D$53,INT((ROW()-2)/6)+1)</f>
        <v>julio</v>
      </c>
      <c r="F112" t="s">
        <v>108</v>
      </c>
      <c r="G112" s="10">
        <v>7.02</v>
      </c>
      <c r="H112">
        <f t="shared" si="8"/>
        <v>8</v>
      </c>
      <c r="I112" t="str">
        <f t="shared" si="6"/>
        <v>%humedad</v>
      </c>
      <c r="J112" t="str">
        <f t="shared" si="9"/>
        <v>✅ OK</v>
      </c>
      <c r="K112" t="str">
        <f t="shared" si="10"/>
        <v>🟡 PRECAUCIÓN</v>
      </c>
      <c r="L112" t="str">
        <f t="shared" si="11"/>
        <v>Almacenista</v>
      </c>
    </row>
    <row r="113" spans="1:12" x14ac:dyDescent="0.3">
      <c r="A113" t="str">
        <f t="shared" si="7"/>
        <v>KPI-112</v>
      </c>
      <c r="B113" s="2">
        <f>INDEX(Lotes!$B$2:$B$53,INT((ROW()-2)/6)+1)</f>
        <v>46221</v>
      </c>
      <c r="C113">
        <f>INDEX(Lotes!$C$2:$C$53,INT((ROW()-2)/6)+1)</f>
        <v>29</v>
      </c>
      <c r="D113" t="str">
        <f>INDEX(Lotes!$A$2:$A$53,INT((ROW()-2)/6)+1)</f>
        <v>RETEX-2024-019</v>
      </c>
      <c r="E113" t="str">
        <f>INDEX(Lotes!$D$2:$D$53,INT((ROW()-2)/6)+1)</f>
        <v>julio</v>
      </c>
      <c r="F113" t="s">
        <v>109</v>
      </c>
      <c r="G113" s="10">
        <v>0.2</v>
      </c>
      <c r="H113">
        <f t="shared" si="8"/>
        <v>1</v>
      </c>
      <c r="I113" t="str">
        <f t="shared" si="6"/>
        <v>%retorno</v>
      </c>
      <c r="J113" t="str">
        <f t="shared" si="9"/>
        <v>✅ OK</v>
      </c>
      <c r="K113" t="str">
        <f t="shared" si="10"/>
        <v>🟢 OK</v>
      </c>
      <c r="L113" t="str">
        <f t="shared" si="11"/>
        <v>Gerente de Calidad</v>
      </c>
    </row>
    <row r="114" spans="1:12" x14ac:dyDescent="0.3">
      <c r="A114" t="str">
        <f t="shared" si="7"/>
        <v>KPI-113</v>
      </c>
      <c r="B114" s="2">
        <f>INDEX(Lotes!$B$2:$B$53,INT((ROW()-2)/6)+1)</f>
        <v>46221</v>
      </c>
      <c r="C114">
        <f>INDEX(Lotes!$C$2:$C$53,INT((ROW()-2)/6)+1)</f>
        <v>29</v>
      </c>
      <c r="D114" t="str">
        <f>INDEX(Lotes!$A$2:$A$53,INT((ROW()-2)/6)+1)</f>
        <v>RETEX-2024-019</v>
      </c>
      <c r="E114" t="str">
        <f>INDEX(Lotes!$D$2:$D$53,INT((ROW()-2)/6)+1)</f>
        <v>julio</v>
      </c>
      <c r="F114" t="s">
        <v>110</v>
      </c>
      <c r="G114" s="10">
        <v>2.81</v>
      </c>
      <c r="H114">
        <f t="shared" si="8"/>
        <v>3</v>
      </c>
      <c r="I114" t="str">
        <f t="shared" si="6"/>
        <v>%error</v>
      </c>
      <c r="J114" t="str">
        <f t="shared" si="9"/>
        <v>✅ OK</v>
      </c>
      <c r="K114" t="str">
        <f t="shared" si="10"/>
        <v>🟡 PRECAUCIÓN</v>
      </c>
      <c r="L114" t="str">
        <f t="shared" si="11"/>
        <v>Supervisor</v>
      </c>
    </row>
    <row r="115" spans="1:12" x14ac:dyDescent="0.3">
      <c r="A115" t="str">
        <f t="shared" si="7"/>
        <v>KPI-114</v>
      </c>
      <c r="B115" s="2">
        <f>INDEX(Lotes!$B$2:$B$53,INT((ROW()-2)/6)+1)</f>
        <v>46221</v>
      </c>
      <c r="C115">
        <f>INDEX(Lotes!$C$2:$C$53,INT((ROW()-2)/6)+1)</f>
        <v>29</v>
      </c>
      <c r="D115" t="str">
        <f>INDEX(Lotes!$A$2:$A$53,INT((ROW()-2)/6)+1)</f>
        <v>RETEX-2024-019</v>
      </c>
      <c r="E115" t="str">
        <f>INDEX(Lotes!$D$2:$D$53,INT((ROW()-2)/6)+1)</f>
        <v>julio</v>
      </c>
      <c r="F115" t="s">
        <v>111</v>
      </c>
      <c r="G115" s="10">
        <v>1.1299999999999999</v>
      </c>
      <c r="H115">
        <f t="shared" si="8"/>
        <v>1</v>
      </c>
      <c r="I115" t="str">
        <f t="shared" si="6"/>
        <v>índice</v>
      </c>
      <c r="J115" t="str">
        <f t="shared" si="9"/>
        <v>✅ OK</v>
      </c>
      <c r="K115" t="str">
        <f t="shared" si="10"/>
        <v>🟢 OK</v>
      </c>
      <c r="L115" t="str">
        <f t="shared" si="11"/>
        <v>Ingeniero de Calidad</v>
      </c>
    </row>
    <row r="116" spans="1:12" x14ac:dyDescent="0.3">
      <c r="A116" t="str">
        <f t="shared" si="7"/>
        <v>KPI-115</v>
      </c>
      <c r="B116" s="2">
        <f>INDEX(Lotes!$B$2:$B$53,INT((ROW()-2)/6)+1)</f>
        <v>46228</v>
      </c>
      <c r="C116">
        <f>INDEX(Lotes!$C$2:$C$53,INT((ROW()-2)/6)+1)</f>
        <v>30</v>
      </c>
      <c r="D116" t="str">
        <f>INDEX(Lotes!$A$2:$A$53,INT((ROW()-2)/6)+1)</f>
        <v>RETEX-2024-020</v>
      </c>
      <c r="E116" t="str">
        <f>INDEX(Lotes!$D$2:$D$53,INT((ROW()-2)/6)+1)</f>
        <v>julio</v>
      </c>
      <c r="F116" t="s">
        <v>106</v>
      </c>
      <c r="G116" s="10">
        <v>97.21</v>
      </c>
      <c r="H116">
        <f t="shared" si="8"/>
        <v>96</v>
      </c>
      <c r="I116" t="str">
        <f t="shared" si="6"/>
        <v>%pureza</v>
      </c>
      <c r="J116" t="str">
        <f t="shared" si="9"/>
        <v>✅ OK</v>
      </c>
      <c r="K116" t="str">
        <f t="shared" si="10"/>
        <v>🟡 PRECAUCIÓN</v>
      </c>
      <c r="L116" t="str">
        <f t="shared" si="11"/>
        <v>Inspector de Calidad</v>
      </c>
    </row>
    <row r="117" spans="1:12" x14ac:dyDescent="0.3">
      <c r="A117" t="str">
        <f t="shared" si="7"/>
        <v>KPI-116</v>
      </c>
      <c r="B117" s="2">
        <f>INDEX(Lotes!$B$2:$B$53,INT((ROW()-2)/6)+1)</f>
        <v>46228</v>
      </c>
      <c r="C117">
        <f>INDEX(Lotes!$C$2:$C$53,INT((ROW()-2)/6)+1)</f>
        <v>30</v>
      </c>
      <c r="D117" t="str">
        <f>INDEX(Lotes!$A$2:$A$53,INT((ROW()-2)/6)+1)</f>
        <v>RETEX-2024-020</v>
      </c>
      <c r="E117" t="str">
        <f>INDEX(Lotes!$D$2:$D$53,INT((ROW()-2)/6)+1)</f>
        <v>julio</v>
      </c>
      <c r="F117" t="s">
        <v>107</v>
      </c>
      <c r="G117" s="10">
        <v>76.790000000000006</v>
      </c>
      <c r="H117">
        <f t="shared" si="8"/>
        <v>70</v>
      </c>
      <c r="I117" t="str">
        <f t="shared" si="6"/>
        <v>%rendimiento</v>
      </c>
      <c r="J117" t="str">
        <f t="shared" si="9"/>
        <v>✅ OK</v>
      </c>
      <c r="K117" t="str">
        <f t="shared" si="10"/>
        <v>🟢 OK</v>
      </c>
      <c r="L117" t="str">
        <f t="shared" si="11"/>
        <v>Coordinador de Planta</v>
      </c>
    </row>
    <row r="118" spans="1:12" x14ac:dyDescent="0.3">
      <c r="A118" t="str">
        <f t="shared" si="7"/>
        <v>KPI-117</v>
      </c>
      <c r="B118" s="2">
        <f>INDEX(Lotes!$B$2:$B$53,INT((ROW()-2)/6)+1)</f>
        <v>46228</v>
      </c>
      <c r="C118">
        <f>INDEX(Lotes!$C$2:$C$53,INT((ROW()-2)/6)+1)</f>
        <v>30</v>
      </c>
      <c r="D118" t="str">
        <f>INDEX(Lotes!$A$2:$A$53,INT((ROW()-2)/6)+1)</f>
        <v>RETEX-2024-020</v>
      </c>
      <c r="E118" t="str">
        <f>INDEX(Lotes!$D$2:$D$53,INT((ROW()-2)/6)+1)</f>
        <v>julio</v>
      </c>
      <c r="F118" t="s">
        <v>108</v>
      </c>
      <c r="G118" s="10">
        <v>7.47</v>
      </c>
      <c r="H118">
        <f t="shared" si="8"/>
        <v>8</v>
      </c>
      <c r="I118" t="str">
        <f t="shared" si="6"/>
        <v>%humedad</v>
      </c>
      <c r="J118" t="str">
        <f t="shared" si="9"/>
        <v>✅ OK</v>
      </c>
      <c r="K118" t="str">
        <f t="shared" si="10"/>
        <v>🟡 PRECAUCIÓN</v>
      </c>
      <c r="L118" t="str">
        <f t="shared" si="11"/>
        <v>Almacenista</v>
      </c>
    </row>
    <row r="119" spans="1:12" x14ac:dyDescent="0.3">
      <c r="A119" t="str">
        <f t="shared" si="7"/>
        <v>KPI-118</v>
      </c>
      <c r="B119" s="2">
        <f>INDEX(Lotes!$B$2:$B$53,INT((ROW()-2)/6)+1)</f>
        <v>46228</v>
      </c>
      <c r="C119">
        <f>INDEX(Lotes!$C$2:$C$53,INT((ROW()-2)/6)+1)</f>
        <v>30</v>
      </c>
      <c r="D119" t="str">
        <f>INDEX(Lotes!$A$2:$A$53,INT((ROW()-2)/6)+1)</f>
        <v>RETEX-2024-020</v>
      </c>
      <c r="E119" t="str">
        <f>INDEX(Lotes!$D$2:$D$53,INT((ROW()-2)/6)+1)</f>
        <v>julio</v>
      </c>
      <c r="F119" t="s">
        <v>109</v>
      </c>
      <c r="G119" s="10">
        <v>1.18</v>
      </c>
      <c r="H119">
        <f t="shared" si="8"/>
        <v>1</v>
      </c>
      <c r="I119" t="str">
        <f t="shared" si="6"/>
        <v>%retorno</v>
      </c>
      <c r="J119" t="str">
        <f t="shared" si="9"/>
        <v>❌ ALERTA</v>
      </c>
      <c r="K119" t="str">
        <f t="shared" si="10"/>
        <v>🔴 ALERTA</v>
      </c>
      <c r="L119" t="str">
        <f t="shared" si="11"/>
        <v>Gerente de Calidad</v>
      </c>
    </row>
    <row r="120" spans="1:12" x14ac:dyDescent="0.3">
      <c r="A120" t="str">
        <f t="shared" si="7"/>
        <v>KPI-119</v>
      </c>
      <c r="B120" s="2">
        <f>INDEX(Lotes!$B$2:$B$53,INT((ROW()-2)/6)+1)</f>
        <v>46228</v>
      </c>
      <c r="C120">
        <f>INDEX(Lotes!$C$2:$C$53,INT((ROW()-2)/6)+1)</f>
        <v>30</v>
      </c>
      <c r="D120" t="str">
        <f>INDEX(Lotes!$A$2:$A$53,INT((ROW()-2)/6)+1)</f>
        <v>RETEX-2024-020</v>
      </c>
      <c r="E120" t="str">
        <f>INDEX(Lotes!$D$2:$D$53,INT((ROW()-2)/6)+1)</f>
        <v>julio</v>
      </c>
      <c r="F120" t="s">
        <v>110</v>
      </c>
      <c r="G120" s="10">
        <v>2.48</v>
      </c>
      <c r="H120">
        <f t="shared" si="8"/>
        <v>3</v>
      </c>
      <c r="I120" t="str">
        <f t="shared" si="6"/>
        <v>%error</v>
      </c>
      <c r="J120" t="str">
        <f t="shared" si="9"/>
        <v>✅ OK</v>
      </c>
      <c r="K120" t="str">
        <f t="shared" si="10"/>
        <v>🟢 OK</v>
      </c>
      <c r="L120" t="str">
        <f t="shared" si="11"/>
        <v>Supervisor</v>
      </c>
    </row>
    <row r="121" spans="1:12" x14ac:dyDescent="0.3">
      <c r="A121" t="str">
        <f t="shared" si="7"/>
        <v>KPI-120</v>
      </c>
      <c r="B121" s="2">
        <f>INDEX(Lotes!$B$2:$B$53,INT((ROW()-2)/6)+1)</f>
        <v>46228</v>
      </c>
      <c r="C121">
        <f>INDEX(Lotes!$C$2:$C$53,INT((ROW()-2)/6)+1)</f>
        <v>30</v>
      </c>
      <c r="D121" t="str">
        <f>INDEX(Lotes!$A$2:$A$53,INT((ROW()-2)/6)+1)</f>
        <v>RETEX-2024-020</v>
      </c>
      <c r="E121" t="str">
        <f>INDEX(Lotes!$D$2:$D$53,INT((ROW()-2)/6)+1)</f>
        <v>julio</v>
      </c>
      <c r="F121" t="s">
        <v>111</v>
      </c>
      <c r="G121" s="10">
        <v>0.62</v>
      </c>
      <c r="H121">
        <f t="shared" si="8"/>
        <v>1</v>
      </c>
      <c r="I121" t="str">
        <f t="shared" si="6"/>
        <v>índice</v>
      </c>
      <c r="J121" t="str">
        <f t="shared" si="9"/>
        <v>❌ ALERTA</v>
      </c>
      <c r="K121" t="str">
        <f t="shared" si="10"/>
        <v>🔴 ALERTA</v>
      </c>
      <c r="L121" t="str">
        <f t="shared" si="11"/>
        <v>Ingeniero de Calidad</v>
      </c>
    </row>
    <row r="122" spans="1:12" x14ac:dyDescent="0.3">
      <c r="A122" t="str">
        <f t="shared" si="7"/>
        <v>KPI-121</v>
      </c>
      <c r="B122" s="2">
        <f>INDEX(Lotes!$B$2:$B$53,INT((ROW()-2)/6)+1)</f>
        <v>46235</v>
      </c>
      <c r="C122">
        <f>INDEX(Lotes!$C$2:$C$53,INT((ROW()-2)/6)+1)</f>
        <v>31</v>
      </c>
      <c r="D122" t="str">
        <f>INDEX(Lotes!$A$2:$A$53,INT((ROW()-2)/6)+1)</f>
        <v>RETEX-2024-021</v>
      </c>
      <c r="E122" t="str">
        <f>INDEX(Lotes!$D$2:$D$53,INT((ROW()-2)/6)+1)</f>
        <v>agosto</v>
      </c>
      <c r="F122" t="s">
        <v>106</v>
      </c>
      <c r="G122" s="10">
        <v>97.14</v>
      </c>
      <c r="H122">
        <f t="shared" si="8"/>
        <v>96</v>
      </c>
      <c r="I122" t="str">
        <f t="shared" si="6"/>
        <v>%pureza</v>
      </c>
      <c r="J122" t="str">
        <f t="shared" si="9"/>
        <v>✅ OK</v>
      </c>
      <c r="K122" t="str">
        <f t="shared" si="10"/>
        <v>🟡 PRECAUCIÓN</v>
      </c>
      <c r="L122" t="str">
        <f t="shared" si="11"/>
        <v>Inspector de Calidad</v>
      </c>
    </row>
    <row r="123" spans="1:12" x14ac:dyDescent="0.3">
      <c r="A123" t="str">
        <f t="shared" si="7"/>
        <v>KPI-122</v>
      </c>
      <c r="B123" s="2">
        <f>INDEX(Lotes!$B$2:$B$53,INT((ROW()-2)/6)+1)</f>
        <v>46235</v>
      </c>
      <c r="C123">
        <f>INDEX(Lotes!$C$2:$C$53,INT((ROW()-2)/6)+1)</f>
        <v>31</v>
      </c>
      <c r="D123" t="str">
        <f>INDEX(Lotes!$A$2:$A$53,INT((ROW()-2)/6)+1)</f>
        <v>RETEX-2024-021</v>
      </c>
      <c r="E123" t="str">
        <f>INDEX(Lotes!$D$2:$D$53,INT((ROW()-2)/6)+1)</f>
        <v>agosto</v>
      </c>
      <c r="F123" t="s">
        <v>107</v>
      </c>
      <c r="G123" s="10">
        <v>75.349999999999994</v>
      </c>
      <c r="H123">
        <f t="shared" si="8"/>
        <v>70</v>
      </c>
      <c r="I123" t="str">
        <f t="shared" si="6"/>
        <v>%rendimiento</v>
      </c>
      <c r="J123" t="str">
        <f t="shared" si="9"/>
        <v>✅ OK</v>
      </c>
      <c r="K123" t="str">
        <f t="shared" si="10"/>
        <v>🟢 OK</v>
      </c>
      <c r="L123" t="str">
        <f t="shared" si="11"/>
        <v>Coordinador de Planta</v>
      </c>
    </row>
    <row r="124" spans="1:12" x14ac:dyDescent="0.3">
      <c r="A124" t="str">
        <f t="shared" si="7"/>
        <v>KPI-123</v>
      </c>
      <c r="B124" s="2">
        <f>INDEX(Lotes!$B$2:$B$53,INT((ROW()-2)/6)+1)</f>
        <v>46235</v>
      </c>
      <c r="C124">
        <f>INDEX(Lotes!$C$2:$C$53,INT((ROW()-2)/6)+1)</f>
        <v>31</v>
      </c>
      <c r="D124" t="str">
        <f>INDEX(Lotes!$A$2:$A$53,INT((ROW()-2)/6)+1)</f>
        <v>RETEX-2024-021</v>
      </c>
      <c r="E124" t="str">
        <f>INDEX(Lotes!$D$2:$D$53,INT((ROW()-2)/6)+1)</f>
        <v>agosto</v>
      </c>
      <c r="F124" t="s">
        <v>108</v>
      </c>
      <c r="G124" s="10">
        <v>5.22</v>
      </c>
      <c r="H124">
        <f t="shared" si="8"/>
        <v>8</v>
      </c>
      <c r="I124" t="str">
        <f t="shared" si="6"/>
        <v>%humedad</v>
      </c>
      <c r="J124" t="str">
        <f t="shared" si="9"/>
        <v>✅ OK</v>
      </c>
      <c r="K124" t="str">
        <f t="shared" si="10"/>
        <v>🟢 OK</v>
      </c>
      <c r="L124" t="str">
        <f t="shared" si="11"/>
        <v>Almacenista</v>
      </c>
    </row>
    <row r="125" spans="1:12" x14ac:dyDescent="0.3">
      <c r="A125" t="str">
        <f t="shared" si="7"/>
        <v>KPI-124</v>
      </c>
      <c r="B125" s="2">
        <f>INDEX(Lotes!$B$2:$B$53,INT((ROW()-2)/6)+1)</f>
        <v>46235</v>
      </c>
      <c r="C125">
        <f>INDEX(Lotes!$C$2:$C$53,INT((ROW()-2)/6)+1)</f>
        <v>31</v>
      </c>
      <c r="D125" t="str">
        <f>INDEX(Lotes!$A$2:$A$53,INT((ROW()-2)/6)+1)</f>
        <v>RETEX-2024-021</v>
      </c>
      <c r="E125" t="str">
        <f>INDEX(Lotes!$D$2:$D$53,INT((ROW()-2)/6)+1)</f>
        <v>agosto</v>
      </c>
      <c r="F125" t="s">
        <v>109</v>
      </c>
      <c r="G125" s="10">
        <v>0.73</v>
      </c>
      <c r="H125">
        <f t="shared" si="8"/>
        <v>1</v>
      </c>
      <c r="I125" t="str">
        <f t="shared" si="6"/>
        <v>%retorno</v>
      </c>
      <c r="J125" t="str">
        <f t="shared" si="9"/>
        <v>✅ OK</v>
      </c>
      <c r="K125" t="str">
        <f t="shared" si="10"/>
        <v>🟢 OK</v>
      </c>
      <c r="L125" t="str">
        <f t="shared" si="11"/>
        <v>Gerente de Calidad</v>
      </c>
    </row>
    <row r="126" spans="1:12" x14ac:dyDescent="0.3">
      <c r="A126" t="str">
        <f t="shared" si="7"/>
        <v>KPI-125</v>
      </c>
      <c r="B126" s="2">
        <f>INDEX(Lotes!$B$2:$B$53,INT((ROW()-2)/6)+1)</f>
        <v>46235</v>
      </c>
      <c r="C126">
        <f>INDEX(Lotes!$C$2:$C$53,INT((ROW()-2)/6)+1)</f>
        <v>31</v>
      </c>
      <c r="D126" t="str">
        <f>INDEX(Lotes!$A$2:$A$53,INT((ROW()-2)/6)+1)</f>
        <v>RETEX-2024-021</v>
      </c>
      <c r="E126" t="str">
        <f>INDEX(Lotes!$D$2:$D$53,INT((ROW()-2)/6)+1)</f>
        <v>agosto</v>
      </c>
      <c r="F126" t="s">
        <v>110</v>
      </c>
      <c r="G126" s="10">
        <v>2.39</v>
      </c>
      <c r="H126">
        <f t="shared" si="8"/>
        <v>3</v>
      </c>
      <c r="I126" t="str">
        <f t="shared" si="6"/>
        <v>%error</v>
      </c>
      <c r="J126" t="str">
        <f t="shared" si="9"/>
        <v>✅ OK</v>
      </c>
      <c r="K126" t="str">
        <f t="shared" si="10"/>
        <v>🟢 OK</v>
      </c>
      <c r="L126" t="str">
        <f t="shared" si="11"/>
        <v>Supervisor</v>
      </c>
    </row>
    <row r="127" spans="1:12" x14ac:dyDescent="0.3">
      <c r="A127" t="str">
        <f t="shared" si="7"/>
        <v>KPI-126</v>
      </c>
      <c r="B127" s="2">
        <f>INDEX(Lotes!$B$2:$B$53,INT((ROW()-2)/6)+1)</f>
        <v>46235</v>
      </c>
      <c r="C127">
        <f>INDEX(Lotes!$C$2:$C$53,INT((ROW()-2)/6)+1)</f>
        <v>31</v>
      </c>
      <c r="D127" t="str">
        <f>INDEX(Lotes!$A$2:$A$53,INT((ROW()-2)/6)+1)</f>
        <v>RETEX-2024-021</v>
      </c>
      <c r="E127" t="str">
        <f>INDEX(Lotes!$D$2:$D$53,INT((ROW()-2)/6)+1)</f>
        <v>agosto</v>
      </c>
      <c r="F127" t="s">
        <v>111</v>
      </c>
      <c r="G127" s="10">
        <v>0.73</v>
      </c>
      <c r="H127">
        <f t="shared" si="8"/>
        <v>1</v>
      </c>
      <c r="I127" t="str">
        <f t="shared" si="6"/>
        <v>índice</v>
      </c>
      <c r="J127" t="str">
        <f t="shared" si="9"/>
        <v>❌ ALERTA</v>
      </c>
      <c r="K127" t="str">
        <f t="shared" si="10"/>
        <v>🔴 ALERTA</v>
      </c>
      <c r="L127" t="str">
        <f t="shared" si="11"/>
        <v>Ingeniero de Calidad</v>
      </c>
    </row>
    <row r="128" spans="1:12" x14ac:dyDescent="0.3">
      <c r="A128" t="str">
        <f t="shared" si="7"/>
        <v>KPI-127</v>
      </c>
      <c r="B128" s="2">
        <f>INDEX(Lotes!$B$2:$B$53,INT((ROW()-2)/6)+1)</f>
        <v>46242</v>
      </c>
      <c r="C128">
        <f>INDEX(Lotes!$C$2:$C$53,INT((ROW()-2)/6)+1)</f>
        <v>32</v>
      </c>
      <c r="D128" t="str">
        <f>INDEX(Lotes!$A$2:$A$53,INT((ROW()-2)/6)+1)</f>
        <v>RETEX-2024-022</v>
      </c>
      <c r="E128" t="str">
        <f>INDEX(Lotes!$D$2:$D$53,INT((ROW()-2)/6)+1)</f>
        <v>agosto</v>
      </c>
      <c r="F128" t="s">
        <v>106</v>
      </c>
      <c r="G128" s="10">
        <v>95.98</v>
      </c>
      <c r="H128">
        <f t="shared" si="8"/>
        <v>96</v>
      </c>
      <c r="I128" t="str">
        <f t="shared" si="6"/>
        <v>%pureza</v>
      </c>
      <c r="J128" t="str">
        <f t="shared" si="9"/>
        <v>❌ ALERTA</v>
      </c>
      <c r="K128" t="str">
        <f t="shared" si="10"/>
        <v>🔴 ALERTA</v>
      </c>
      <c r="L128" t="str">
        <f t="shared" si="11"/>
        <v>Inspector de Calidad</v>
      </c>
    </row>
    <row r="129" spans="1:12" x14ac:dyDescent="0.3">
      <c r="A129" t="str">
        <f t="shared" si="7"/>
        <v>KPI-128</v>
      </c>
      <c r="B129" s="2">
        <f>INDEX(Lotes!$B$2:$B$53,INT((ROW()-2)/6)+1)</f>
        <v>46242</v>
      </c>
      <c r="C129">
        <f>INDEX(Lotes!$C$2:$C$53,INT((ROW()-2)/6)+1)</f>
        <v>32</v>
      </c>
      <c r="D129" t="str">
        <f>INDEX(Lotes!$A$2:$A$53,INT((ROW()-2)/6)+1)</f>
        <v>RETEX-2024-022</v>
      </c>
      <c r="E129" t="str">
        <f>INDEX(Lotes!$D$2:$D$53,INT((ROW()-2)/6)+1)</f>
        <v>agosto</v>
      </c>
      <c r="F129" t="s">
        <v>107</v>
      </c>
      <c r="G129" s="10">
        <v>75.12</v>
      </c>
      <c r="H129">
        <f t="shared" si="8"/>
        <v>70</v>
      </c>
      <c r="I129" t="str">
        <f t="shared" si="6"/>
        <v>%rendimiento</v>
      </c>
      <c r="J129" t="str">
        <f t="shared" si="9"/>
        <v>✅ OK</v>
      </c>
      <c r="K129" t="str">
        <f t="shared" si="10"/>
        <v>🟢 OK</v>
      </c>
      <c r="L129" t="str">
        <f t="shared" si="11"/>
        <v>Coordinador de Planta</v>
      </c>
    </row>
    <row r="130" spans="1:12" x14ac:dyDescent="0.3">
      <c r="A130" t="str">
        <f t="shared" si="7"/>
        <v>KPI-129</v>
      </c>
      <c r="B130" s="2">
        <f>INDEX(Lotes!$B$2:$B$53,INT((ROW()-2)/6)+1)</f>
        <v>46242</v>
      </c>
      <c r="C130">
        <f>INDEX(Lotes!$C$2:$C$53,INT((ROW()-2)/6)+1)</f>
        <v>32</v>
      </c>
      <c r="D130" t="str">
        <f>INDEX(Lotes!$A$2:$A$53,INT((ROW()-2)/6)+1)</f>
        <v>RETEX-2024-022</v>
      </c>
      <c r="E130" t="str">
        <f>INDEX(Lotes!$D$2:$D$53,INT((ROW()-2)/6)+1)</f>
        <v>agosto</v>
      </c>
      <c r="F130" t="s">
        <v>108</v>
      </c>
      <c r="G130" s="10">
        <v>4.74</v>
      </c>
      <c r="H130">
        <f t="shared" si="8"/>
        <v>8</v>
      </c>
      <c r="I130" t="str">
        <f t="shared" ref="I130:I193" si="12">IF(F130="IPL","%pureza",IF(F130="RS","%rendimiento",IF(F130="VH","%humedad",IF(F130="TR","%retorno",IF(F130="TEC","%error","índice")))))</f>
        <v>%humedad</v>
      </c>
      <c r="J130" t="str">
        <f t="shared" si="9"/>
        <v>✅ OK</v>
      </c>
      <c r="K130" t="str">
        <f t="shared" si="10"/>
        <v>🟢 OK</v>
      </c>
      <c r="L130" t="str">
        <f t="shared" si="11"/>
        <v>Almacenista</v>
      </c>
    </row>
    <row r="131" spans="1:12" x14ac:dyDescent="0.3">
      <c r="A131" t="str">
        <f t="shared" ref="A131:A194" si="13">"KPI-"&amp;TEXT(ROW()-1,"000")</f>
        <v>KPI-130</v>
      </c>
      <c r="B131" s="2">
        <f>INDEX(Lotes!$B$2:$B$53,INT((ROW()-2)/6)+1)</f>
        <v>46242</v>
      </c>
      <c r="C131">
        <f>INDEX(Lotes!$C$2:$C$53,INT((ROW()-2)/6)+1)</f>
        <v>32</v>
      </c>
      <c r="D131" t="str">
        <f>INDEX(Lotes!$A$2:$A$53,INT((ROW()-2)/6)+1)</f>
        <v>RETEX-2024-022</v>
      </c>
      <c r="E131" t="str">
        <f>INDEX(Lotes!$D$2:$D$53,INT((ROW()-2)/6)+1)</f>
        <v>agosto</v>
      </c>
      <c r="F131" t="s">
        <v>109</v>
      </c>
      <c r="G131" s="10">
        <v>1.25</v>
      </c>
      <c r="H131">
        <f t="shared" ref="H131:H194" si="14">IF(F131="IPL",96,IF(F131="RS",70,IF(F131="VH",8,IF(F131="TR",1,IF(F131="TEC",3,1)))))</f>
        <v>1</v>
      </c>
      <c r="I131" t="str">
        <f t="shared" si="12"/>
        <v>%retorno</v>
      </c>
      <c r="J131" t="str">
        <f t="shared" ref="J131:J194" si="15">IF(OR(F131="IPL",F131="RS",F131="Cpk_Mensual"),IF(G131&lt;H131,"❌ ALERTA","✅ OK"),IF(G131&gt;H131,"❌ ALERTA","✅ OK"))</f>
        <v>❌ ALERTA</v>
      </c>
      <c r="K131" t="str">
        <f t="shared" ref="K131:K194" si="16">IF(OR(F131="IPL",F131="RS",F131="Cpk_Mensual"),IF(G131&lt;H131,"🔴 ALERTA",IF(G131&lt;H131*1.05,"🟡 PRECAUCIÓN","🟢 OK")),IF(G131&gt;H131,"🔴 ALERTA",IF(G131&gt;H131*0.85,"🟡 PRECAUCIÓN","🟢 OK")))</f>
        <v>🔴 ALERTA</v>
      </c>
      <c r="L131" t="str">
        <f t="shared" ref="L131:L194" si="17">IF(F131="IPL","Inspector de Calidad",IF(F131="RS","Coordinador de Planta",IF(F131="VH","Almacenista",IF(F131="TR","Gerente de Calidad",IF(F131="TEC","Supervisor","Ingeniero de Calidad")))))</f>
        <v>Gerente de Calidad</v>
      </c>
    </row>
    <row r="132" spans="1:12" x14ac:dyDescent="0.3">
      <c r="A132" t="str">
        <f t="shared" si="13"/>
        <v>KPI-131</v>
      </c>
      <c r="B132" s="2">
        <f>INDEX(Lotes!$B$2:$B$53,INT((ROW()-2)/6)+1)</f>
        <v>46242</v>
      </c>
      <c r="C132">
        <f>INDEX(Lotes!$C$2:$C$53,INT((ROW()-2)/6)+1)</f>
        <v>32</v>
      </c>
      <c r="D132" t="str">
        <f>INDEX(Lotes!$A$2:$A$53,INT((ROW()-2)/6)+1)</f>
        <v>RETEX-2024-022</v>
      </c>
      <c r="E132" t="str">
        <f>INDEX(Lotes!$D$2:$D$53,INT((ROW()-2)/6)+1)</f>
        <v>agosto</v>
      </c>
      <c r="F132" t="s">
        <v>110</v>
      </c>
      <c r="G132" s="10">
        <v>3.09</v>
      </c>
      <c r="H132">
        <f t="shared" si="14"/>
        <v>3</v>
      </c>
      <c r="I132" t="str">
        <f t="shared" si="12"/>
        <v>%error</v>
      </c>
      <c r="J132" t="str">
        <f t="shared" si="15"/>
        <v>❌ ALERTA</v>
      </c>
      <c r="K132" t="str">
        <f t="shared" si="16"/>
        <v>🔴 ALERTA</v>
      </c>
      <c r="L132" t="str">
        <f t="shared" si="17"/>
        <v>Supervisor</v>
      </c>
    </row>
    <row r="133" spans="1:12" x14ac:dyDescent="0.3">
      <c r="A133" t="str">
        <f t="shared" si="13"/>
        <v>KPI-132</v>
      </c>
      <c r="B133" s="2">
        <f>INDEX(Lotes!$B$2:$B$53,INT((ROW()-2)/6)+1)</f>
        <v>46242</v>
      </c>
      <c r="C133">
        <f>INDEX(Lotes!$C$2:$C$53,INT((ROW()-2)/6)+1)</f>
        <v>32</v>
      </c>
      <c r="D133" t="str">
        <f>INDEX(Lotes!$A$2:$A$53,INT((ROW()-2)/6)+1)</f>
        <v>RETEX-2024-022</v>
      </c>
      <c r="E133" t="str">
        <f>INDEX(Lotes!$D$2:$D$53,INT((ROW()-2)/6)+1)</f>
        <v>agosto</v>
      </c>
      <c r="F133" t="s">
        <v>111</v>
      </c>
      <c r="G133" s="10">
        <v>0.88</v>
      </c>
      <c r="H133">
        <f t="shared" si="14"/>
        <v>1</v>
      </c>
      <c r="I133" t="str">
        <f t="shared" si="12"/>
        <v>índice</v>
      </c>
      <c r="J133" t="str">
        <f t="shared" si="15"/>
        <v>❌ ALERTA</v>
      </c>
      <c r="K133" t="str">
        <f t="shared" si="16"/>
        <v>🔴 ALERTA</v>
      </c>
      <c r="L133" t="str">
        <f t="shared" si="17"/>
        <v>Ingeniero de Calidad</v>
      </c>
    </row>
    <row r="134" spans="1:12" x14ac:dyDescent="0.3">
      <c r="A134" t="str">
        <f t="shared" si="13"/>
        <v>KPI-133</v>
      </c>
      <c r="B134" s="2">
        <f>INDEX(Lotes!$B$2:$B$53,INT((ROW()-2)/6)+1)</f>
        <v>46249</v>
      </c>
      <c r="C134">
        <f>INDEX(Lotes!$C$2:$C$53,INT((ROW()-2)/6)+1)</f>
        <v>33</v>
      </c>
      <c r="D134" t="str">
        <f>INDEX(Lotes!$A$2:$A$53,INT((ROW()-2)/6)+1)</f>
        <v>RETEX-2024-023</v>
      </c>
      <c r="E134" t="str">
        <f>INDEX(Lotes!$D$2:$D$53,INT((ROW()-2)/6)+1)</f>
        <v>agosto</v>
      </c>
      <c r="F134" t="s">
        <v>106</v>
      </c>
      <c r="G134" s="10">
        <v>97.83</v>
      </c>
      <c r="H134">
        <f t="shared" si="14"/>
        <v>96</v>
      </c>
      <c r="I134" t="str">
        <f t="shared" si="12"/>
        <v>%pureza</v>
      </c>
      <c r="J134" t="str">
        <f t="shared" si="15"/>
        <v>✅ OK</v>
      </c>
      <c r="K134" t="str">
        <f t="shared" si="16"/>
        <v>🟡 PRECAUCIÓN</v>
      </c>
      <c r="L134" t="str">
        <f t="shared" si="17"/>
        <v>Inspector de Calidad</v>
      </c>
    </row>
    <row r="135" spans="1:12" x14ac:dyDescent="0.3">
      <c r="A135" t="str">
        <f t="shared" si="13"/>
        <v>KPI-134</v>
      </c>
      <c r="B135" s="2">
        <f>INDEX(Lotes!$B$2:$B$53,INT((ROW()-2)/6)+1)</f>
        <v>46249</v>
      </c>
      <c r="C135">
        <f>INDEX(Lotes!$C$2:$C$53,INT((ROW()-2)/6)+1)</f>
        <v>33</v>
      </c>
      <c r="D135" t="str">
        <f>INDEX(Lotes!$A$2:$A$53,INT((ROW()-2)/6)+1)</f>
        <v>RETEX-2024-023</v>
      </c>
      <c r="E135" t="str">
        <f>INDEX(Lotes!$D$2:$D$53,INT((ROW()-2)/6)+1)</f>
        <v>agosto</v>
      </c>
      <c r="F135" t="s">
        <v>107</v>
      </c>
      <c r="G135" s="10">
        <v>65.2</v>
      </c>
      <c r="H135">
        <f t="shared" si="14"/>
        <v>70</v>
      </c>
      <c r="I135" t="str">
        <f t="shared" si="12"/>
        <v>%rendimiento</v>
      </c>
      <c r="J135" t="str">
        <f t="shared" si="15"/>
        <v>❌ ALERTA</v>
      </c>
      <c r="K135" t="str">
        <f t="shared" si="16"/>
        <v>🔴 ALERTA</v>
      </c>
      <c r="L135" t="str">
        <f t="shared" si="17"/>
        <v>Coordinador de Planta</v>
      </c>
    </row>
    <row r="136" spans="1:12" x14ac:dyDescent="0.3">
      <c r="A136" t="str">
        <f t="shared" si="13"/>
        <v>KPI-135</v>
      </c>
      <c r="B136" s="2">
        <f>INDEX(Lotes!$B$2:$B$53,INT((ROW()-2)/6)+1)</f>
        <v>46249</v>
      </c>
      <c r="C136">
        <f>INDEX(Lotes!$C$2:$C$53,INT((ROW()-2)/6)+1)</f>
        <v>33</v>
      </c>
      <c r="D136" t="str">
        <f>INDEX(Lotes!$A$2:$A$53,INT((ROW()-2)/6)+1)</f>
        <v>RETEX-2024-023</v>
      </c>
      <c r="E136" t="str">
        <f>INDEX(Lotes!$D$2:$D$53,INT((ROW()-2)/6)+1)</f>
        <v>agosto</v>
      </c>
      <c r="F136" t="s">
        <v>108</v>
      </c>
      <c r="G136" s="10">
        <v>4.8099999999999996</v>
      </c>
      <c r="H136">
        <f t="shared" si="14"/>
        <v>8</v>
      </c>
      <c r="I136" t="str">
        <f t="shared" si="12"/>
        <v>%humedad</v>
      </c>
      <c r="J136" t="str">
        <f t="shared" si="15"/>
        <v>✅ OK</v>
      </c>
      <c r="K136" t="str">
        <f t="shared" si="16"/>
        <v>🟢 OK</v>
      </c>
      <c r="L136" t="str">
        <f t="shared" si="17"/>
        <v>Almacenista</v>
      </c>
    </row>
    <row r="137" spans="1:12" x14ac:dyDescent="0.3">
      <c r="A137" t="str">
        <f t="shared" si="13"/>
        <v>KPI-136</v>
      </c>
      <c r="B137" s="2">
        <f>INDEX(Lotes!$B$2:$B$53,INT((ROW()-2)/6)+1)</f>
        <v>46249</v>
      </c>
      <c r="C137">
        <f>INDEX(Lotes!$C$2:$C$53,INT((ROW()-2)/6)+1)</f>
        <v>33</v>
      </c>
      <c r="D137" t="str">
        <f>INDEX(Lotes!$A$2:$A$53,INT((ROW()-2)/6)+1)</f>
        <v>RETEX-2024-023</v>
      </c>
      <c r="E137" t="str">
        <f>INDEX(Lotes!$D$2:$D$53,INT((ROW()-2)/6)+1)</f>
        <v>agosto</v>
      </c>
      <c r="F137" t="s">
        <v>109</v>
      </c>
      <c r="G137" s="10">
        <v>0.93</v>
      </c>
      <c r="H137">
        <f t="shared" si="14"/>
        <v>1</v>
      </c>
      <c r="I137" t="str">
        <f t="shared" si="12"/>
        <v>%retorno</v>
      </c>
      <c r="J137" t="str">
        <f t="shared" si="15"/>
        <v>✅ OK</v>
      </c>
      <c r="K137" t="str">
        <f t="shared" si="16"/>
        <v>🟡 PRECAUCIÓN</v>
      </c>
      <c r="L137" t="str">
        <f t="shared" si="17"/>
        <v>Gerente de Calidad</v>
      </c>
    </row>
    <row r="138" spans="1:12" x14ac:dyDescent="0.3">
      <c r="A138" t="str">
        <f t="shared" si="13"/>
        <v>KPI-137</v>
      </c>
      <c r="B138" s="2">
        <f>INDEX(Lotes!$B$2:$B$53,INT((ROW()-2)/6)+1)</f>
        <v>46249</v>
      </c>
      <c r="C138">
        <f>INDEX(Lotes!$C$2:$C$53,INT((ROW()-2)/6)+1)</f>
        <v>33</v>
      </c>
      <c r="D138" t="str">
        <f>INDEX(Lotes!$A$2:$A$53,INT((ROW()-2)/6)+1)</f>
        <v>RETEX-2024-023</v>
      </c>
      <c r="E138" t="str">
        <f>INDEX(Lotes!$D$2:$D$53,INT((ROW()-2)/6)+1)</f>
        <v>agosto</v>
      </c>
      <c r="F138" t="s">
        <v>110</v>
      </c>
      <c r="G138" s="10">
        <v>2.06</v>
      </c>
      <c r="H138">
        <f t="shared" si="14"/>
        <v>3</v>
      </c>
      <c r="I138" t="str">
        <f t="shared" si="12"/>
        <v>%error</v>
      </c>
      <c r="J138" t="str">
        <f t="shared" si="15"/>
        <v>✅ OK</v>
      </c>
      <c r="K138" t="str">
        <f t="shared" si="16"/>
        <v>🟢 OK</v>
      </c>
      <c r="L138" t="str">
        <f t="shared" si="17"/>
        <v>Supervisor</v>
      </c>
    </row>
    <row r="139" spans="1:12" x14ac:dyDescent="0.3">
      <c r="A139" t="str">
        <f t="shared" si="13"/>
        <v>KPI-138</v>
      </c>
      <c r="B139" s="2">
        <f>INDEX(Lotes!$B$2:$B$53,INT((ROW()-2)/6)+1)</f>
        <v>46249</v>
      </c>
      <c r="C139">
        <f>INDEX(Lotes!$C$2:$C$53,INT((ROW()-2)/6)+1)</f>
        <v>33</v>
      </c>
      <c r="D139" t="str">
        <f>INDEX(Lotes!$A$2:$A$53,INT((ROW()-2)/6)+1)</f>
        <v>RETEX-2024-023</v>
      </c>
      <c r="E139" t="str">
        <f>INDEX(Lotes!$D$2:$D$53,INT((ROW()-2)/6)+1)</f>
        <v>agosto</v>
      </c>
      <c r="F139" t="s">
        <v>111</v>
      </c>
      <c r="G139" s="10">
        <v>1.02</v>
      </c>
      <c r="H139">
        <f t="shared" si="14"/>
        <v>1</v>
      </c>
      <c r="I139" t="str">
        <f t="shared" si="12"/>
        <v>índice</v>
      </c>
      <c r="J139" t="str">
        <f t="shared" si="15"/>
        <v>✅ OK</v>
      </c>
      <c r="K139" t="str">
        <f t="shared" si="16"/>
        <v>🟡 PRECAUCIÓN</v>
      </c>
      <c r="L139" t="str">
        <f t="shared" si="17"/>
        <v>Ingeniero de Calidad</v>
      </c>
    </row>
    <row r="140" spans="1:12" x14ac:dyDescent="0.3">
      <c r="A140" t="str">
        <f t="shared" si="13"/>
        <v>KPI-139</v>
      </c>
      <c r="B140" s="2">
        <f>INDEX(Lotes!$B$2:$B$53,INT((ROW()-2)/6)+1)</f>
        <v>46256</v>
      </c>
      <c r="C140">
        <f>INDEX(Lotes!$C$2:$C$53,INT((ROW()-2)/6)+1)</f>
        <v>34</v>
      </c>
      <c r="D140" t="str">
        <f>INDEX(Lotes!$A$2:$A$53,INT((ROW()-2)/6)+1)</f>
        <v>RETEX-2024-024</v>
      </c>
      <c r="E140" t="str">
        <f>INDEX(Lotes!$D$2:$D$53,INT((ROW()-2)/6)+1)</f>
        <v>agosto</v>
      </c>
      <c r="F140" t="s">
        <v>106</v>
      </c>
      <c r="G140" s="10">
        <v>97.81</v>
      </c>
      <c r="H140">
        <f t="shared" si="14"/>
        <v>96</v>
      </c>
      <c r="I140" t="str">
        <f t="shared" si="12"/>
        <v>%pureza</v>
      </c>
      <c r="J140" t="str">
        <f t="shared" si="15"/>
        <v>✅ OK</v>
      </c>
      <c r="K140" t="str">
        <f t="shared" si="16"/>
        <v>🟡 PRECAUCIÓN</v>
      </c>
      <c r="L140" t="str">
        <f t="shared" si="17"/>
        <v>Inspector de Calidad</v>
      </c>
    </row>
    <row r="141" spans="1:12" x14ac:dyDescent="0.3">
      <c r="A141" t="str">
        <f t="shared" si="13"/>
        <v>KPI-140</v>
      </c>
      <c r="B141" s="2">
        <f>INDEX(Lotes!$B$2:$B$53,INT((ROW()-2)/6)+1)</f>
        <v>46256</v>
      </c>
      <c r="C141">
        <f>INDEX(Lotes!$C$2:$C$53,INT((ROW()-2)/6)+1)</f>
        <v>34</v>
      </c>
      <c r="D141" t="str">
        <f>INDEX(Lotes!$A$2:$A$53,INT((ROW()-2)/6)+1)</f>
        <v>RETEX-2024-024</v>
      </c>
      <c r="E141" t="str">
        <f>INDEX(Lotes!$D$2:$D$53,INT((ROW()-2)/6)+1)</f>
        <v>agosto</v>
      </c>
      <c r="F141" t="s">
        <v>107</v>
      </c>
      <c r="G141" s="10">
        <v>73.75</v>
      </c>
      <c r="H141">
        <f t="shared" si="14"/>
        <v>70</v>
      </c>
      <c r="I141" t="str">
        <f t="shared" si="12"/>
        <v>%rendimiento</v>
      </c>
      <c r="J141" t="str">
        <f t="shared" si="15"/>
        <v>✅ OK</v>
      </c>
      <c r="K141" t="str">
        <f t="shared" si="16"/>
        <v>🟢 OK</v>
      </c>
      <c r="L141" t="str">
        <f t="shared" si="17"/>
        <v>Coordinador de Planta</v>
      </c>
    </row>
    <row r="142" spans="1:12" x14ac:dyDescent="0.3">
      <c r="A142" t="str">
        <f t="shared" si="13"/>
        <v>KPI-141</v>
      </c>
      <c r="B142" s="2">
        <f>INDEX(Lotes!$B$2:$B$53,INT((ROW()-2)/6)+1)</f>
        <v>46256</v>
      </c>
      <c r="C142">
        <f>INDEX(Lotes!$C$2:$C$53,INT((ROW()-2)/6)+1)</f>
        <v>34</v>
      </c>
      <c r="D142" t="str">
        <f>INDEX(Lotes!$A$2:$A$53,INT((ROW()-2)/6)+1)</f>
        <v>RETEX-2024-024</v>
      </c>
      <c r="E142" t="str">
        <f>INDEX(Lotes!$D$2:$D$53,INT((ROW()-2)/6)+1)</f>
        <v>agosto</v>
      </c>
      <c r="F142" t="s">
        <v>108</v>
      </c>
      <c r="G142" s="10">
        <v>4.83</v>
      </c>
      <c r="H142">
        <f t="shared" si="14"/>
        <v>8</v>
      </c>
      <c r="I142" t="str">
        <f t="shared" si="12"/>
        <v>%humedad</v>
      </c>
      <c r="J142" t="str">
        <f t="shared" si="15"/>
        <v>✅ OK</v>
      </c>
      <c r="K142" t="str">
        <f t="shared" si="16"/>
        <v>🟢 OK</v>
      </c>
      <c r="L142" t="str">
        <f t="shared" si="17"/>
        <v>Almacenista</v>
      </c>
    </row>
    <row r="143" spans="1:12" x14ac:dyDescent="0.3">
      <c r="A143" t="str">
        <f t="shared" si="13"/>
        <v>KPI-142</v>
      </c>
      <c r="B143" s="2">
        <f>INDEX(Lotes!$B$2:$B$53,INT((ROW()-2)/6)+1)</f>
        <v>46256</v>
      </c>
      <c r="C143">
        <f>INDEX(Lotes!$C$2:$C$53,INT((ROW()-2)/6)+1)</f>
        <v>34</v>
      </c>
      <c r="D143" t="str">
        <f>INDEX(Lotes!$A$2:$A$53,INT((ROW()-2)/6)+1)</f>
        <v>RETEX-2024-024</v>
      </c>
      <c r="E143" t="str">
        <f>INDEX(Lotes!$D$2:$D$53,INT((ROW()-2)/6)+1)</f>
        <v>agosto</v>
      </c>
      <c r="F143" t="s">
        <v>109</v>
      </c>
      <c r="G143" s="10">
        <v>0.25</v>
      </c>
      <c r="H143">
        <f t="shared" si="14"/>
        <v>1</v>
      </c>
      <c r="I143" t="str">
        <f t="shared" si="12"/>
        <v>%retorno</v>
      </c>
      <c r="J143" t="str">
        <f t="shared" si="15"/>
        <v>✅ OK</v>
      </c>
      <c r="K143" t="str">
        <f t="shared" si="16"/>
        <v>🟢 OK</v>
      </c>
      <c r="L143" t="str">
        <f t="shared" si="17"/>
        <v>Gerente de Calidad</v>
      </c>
    </row>
    <row r="144" spans="1:12" x14ac:dyDescent="0.3">
      <c r="A144" t="str">
        <f t="shared" si="13"/>
        <v>KPI-143</v>
      </c>
      <c r="B144" s="2">
        <f>INDEX(Lotes!$B$2:$B$53,INT((ROW()-2)/6)+1)</f>
        <v>46256</v>
      </c>
      <c r="C144">
        <f>INDEX(Lotes!$C$2:$C$53,INT((ROW()-2)/6)+1)</f>
        <v>34</v>
      </c>
      <c r="D144" t="str">
        <f>INDEX(Lotes!$A$2:$A$53,INT((ROW()-2)/6)+1)</f>
        <v>RETEX-2024-024</v>
      </c>
      <c r="E144" t="str">
        <f>INDEX(Lotes!$D$2:$D$53,INT((ROW()-2)/6)+1)</f>
        <v>agosto</v>
      </c>
      <c r="F144" t="s">
        <v>110</v>
      </c>
      <c r="G144" s="10">
        <v>2.16</v>
      </c>
      <c r="H144">
        <f t="shared" si="14"/>
        <v>3</v>
      </c>
      <c r="I144" t="str">
        <f t="shared" si="12"/>
        <v>%error</v>
      </c>
      <c r="J144" t="str">
        <f t="shared" si="15"/>
        <v>✅ OK</v>
      </c>
      <c r="K144" t="str">
        <f t="shared" si="16"/>
        <v>🟢 OK</v>
      </c>
      <c r="L144" t="str">
        <f t="shared" si="17"/>
        <v>Supervisor</v>
      </c>
    </row>
    <row r="145" spans="1:12" x14ac:dyDescent="0.3">
      <c r="A145" t="str">
        <f t="shared" si="13"/>
        <v>KPI-144</v>
      </c>
      <c r="B145" s="2">
        <f>INDEX(Lotes!$B$2:$B$53,INT((ROW()-2)/6)+1)</f>
        <v>46256</v>
      </c>
      <c r="C145">
        <f>INDEX(Lotes!$C$2:$C$53,INT((ROW()-2)/6)+1)</f>
        <v>34</v>
      </c>
      <c r="D145" t="str">
        <f>INDEX(Lotes!$A$2:$A$53,INT((ROW()-2)/6)+1)</f>
        <v>RETEX-2024-024</v>
      </c>
      <c r="E145" t="str">
        <f>INDEX(Lotes!$D$2:$D$53,INT((ROW()-2)/6)+1)</f>
        <v>agosto</v>
      </c>
      <c r="F145" t="s">
        <v>111</v>
      </c>
      <c r="G145" s="10">
        <v>0.95</v>
      </c>
      <c r="H145">
        <f t="shared" si="14"/>
        <v>1</v>
      </c>
      <c r="I145" t="str">
        <f t="shared" si="12"/>
        <v>índice</v>
      </c>
      <c r="J145" t="str">
        <f t="shared" si="15"/>
        <v>❌ ALERTA</v>
      </c>
      <c r="K145" t="str">
        <f t="shared" si="16"/>
        <v>🔴 ALERTA</v>
      </c>
      <c r="L145" t="str">
        <f t="shared" si="17"/>
        <v>Ingeniero de Calidad</v>
      </c>
    </row>
    <row r="146" spans="1:12" x14ac:dyDescent="0.3">
      <c r="A146" t="str">
        <f t="shared" si="13"/>
        <v>KPI-145</v>
      </c>
      <c r="B146" s="2">
        <f>INDEX(Lotes!$B$2:$B$53,INT((ROW()-2)/6)+1)</f>
        <v>46263</v>
      </c>
      <c r="C146">
        <f>INDEX(Lotes!$C$2:$C$53,INT((ROW()-2)/6)+1)</f>
        <v>35</v>
      </c>
      <c r="D146" t="str">
        <f>INDEX(Lotes!$A$2:$A$53,INT((ROW()-2)/6)+1)</f>
        <v>RETEX-2024-025</v>
      </c>
      <c r="E146" t="str">
        <f>INDEX(Lotes!$D$2:$D$53,INT((ROW()-2)/6)+1)</f>
        <v>agosto</v>
      </c>
      <c r="F146" t="s">
        <v>106</v>
      </c>
      <c r="G146" s="10">
        <v>99.44</v>
      </c>
      <c r="H146">
        <f t="shared" si="14"/>
        <v>96</v>
      </c>
      <c r="I146" t="str">
        <f t="shared" si="12"/>
        <v>%pureza</v>
      </c>
      <c r="J146" t="str">
        <f t="shared" si="15"/>
        <v>✅ OK</v>
      </c>
      <c r="K146" t="str">
        <f t="shared" si="16"/>
        <v>🟡 PRECAUCIÓN</v>
      </c>
      <c r="L146" t="str">
        <f t="shared" si="17"/>
        <v>Inspector de Calidad</v>
      </c>
    </row>
    <row r="147" spans="1:12" x14ac:dyDescent="0.3">
      <c r="A147" t="str">
        <f t="shared" si="13"/>
        <v>KPI-146</v>
      </c>
      <c r="B147" s="2">
        <f>INDEX(Lotes!$B$2:$B$53,INT((ROW()-2)/6)+1)</f>
        <v>46263</v>
      </c>
      <c r="C147">
        <f>INDEX(Lotes!$C$2:$C$53,INT((ROW()-2)/6)+1)</f>
        <v>35</v>
      </c>
      <c r="D147" t="str">
        <f>INDEX(Lotes!$A$2:$A$53,INT((ROW()-2)/6)+1)</f>
        <v>RETEX-2024-025</v>
      </c>
      <c r="E147" t="str">
        <f>INDEX(Lotes!$D$2:$D$53,INT((ROW()-2)/6)+1)</f>
        <v>agosto</v>
      </c>
      <c r="F147" t="s">
        <v>107</v>
      </c>
      <c r="G147" s="10">
        <v>67.55</v>
      </c>
      <c r="H147">
        <f t="shared" si="14"/>
        <v>70</v>
      </c>
      <c r="I147" t="str">
        <f t="shared" si="12"/>
        <v>%rendimiento</v>
      </c>
      <c r="J147" t="str">
        <f t="shared" si="15"/>
        <v>❌ ALERTA</v>
      </c>
      <c r="K147" t="str">
        <f t="shared" si="16"/>
        <v>🔴 ALERTA</v>
      </c>
      <c r="L147" t="str">
        <f t="shared" si="17"/>
        <v>Coordinador de Planta</v>
      </c>
    </row>
    <row r="148" spans="1:12" x14ac:dyDescent="0.3">
      <c r="A148" t="str">
        <f t="shared" si="13"/>
        <v>KPI-147</v>
      </c>
      <c r="B148" s="2">
        <f>INDEX(Lotes!$B$2:$B$53,INT((ROW()-2)/6)+1)</f>
        <v>46263</v>
      </c>
      <c r="C148">
        <f>INDEX(Lotes!$C$2:$C$53,INT((ROW()-2)/6)+1)</f>
        <v>35</v>
      </c>
      <c r="D148" t="str">
        <f>INDEX(Lotes!$A$2:$A$53,INT((ROW()-2)/6)+1)</f>
        <v>RETEX-2024-025</v>
      </c>
      <c r="E148" t="str">
        <f>INDEX(Lotes!$D$2:$D$53,INT((ROW()-2)/6)+1)</f>
        <v>agosto</v>
      </c>
      <c r="F148" t="s">
        <v>108</v>
      </c>
      <c r="G148" s="10">
        <v>5.25</v>
      </c>
      <c r="H148">
        <f t="shared" si="14"/>
        <v>8</v>
      </c>
      <c r="I148" t="str">
        <f t="shared" si="12"/>
        <v>%humedad</v>
      </c>
      <c r="J148" t="str">
        <f t="shared" si="15"/>
        <v>✅ OK</v>
      </c>
      <c r="K148" t="str">
        <f t="shared" si="16"/>
        <v>🟢 OK</v>
      </c>
      <c r="L148" t="str">
        <f t="shared" si="17"/>
        <v>Almacenista</v>
      </c>
    </row>
    <row r="149" spans="1:12" x14ac:dyDescent="0.3">
      <c r="A149" t="str">
        <f t="shared" si="13"/>
        <v>KPI-148</v>
      </c>
      <c r="B149" s="2">
        <f>INDEX(Lotes!$B$2:$B$53,INT((ROW()-2)/6)+1)</f>
        <v>46263</v>
      </c>
      <c r="C149">
        <f>INDEX(Lotes!$C$2:$C$53,INT((ROW()-2)/6)+1)</f>
        <v>35</v>
      </c>
      <c r="D149" t="str">
        <f>INDEX(Lotes!$A$2:$A$53,INT((ROW()-2)/6)+1)</f>
        <v>RETEX-2024-025</v>
      </c>
      <c r="E149" t="str">
        <f>INDEX(Lotes!$D$2:$D$53,INT((ROW()-2)/6)+1)</f>
        <v>agosto</v>
      </c>
      <c r="F149" t="s">
        <v>109</v>
      </c>
      <c r="G149" s="10">
        <v>0.49</v>
      </c>
      <c r="H149">
        <f t="shared" si="14"/>
        <v>1</v>
      </c>
      <c r="I149" t="str">
        <f t="shared" si="12"/>
        <v>%retorno</v>
      </c>
      <c r="J149" t="str">
        <f t="shared" si="15"/>
        <v>✅ OK</v>
      </c>
      <c r="K149" t="str">
        <f t="shared" si="16"/>
        <v>🟢 OK</v>
      </c>
      <c r="L149" t="str">
        <f t="shared" si="17"/>
        <v>Gerente de Calidad</v>
      </c>
    </row>
    <row r="150" spans="1:12" x14ac:dyDescent="0.3">
      <c r="A150" t="str">
        <f t="shared" si="13"/>
        <v>KPI-149</v>
      </c>
      <c r="B150" s="2">
        <f>INDEX(Lotes!$B$2:$B$53,INT((ROW()-2)/6)+1)</f>
        <v>46263</v>
      </c>
      <c r="C150">
        <f>INDEX(Lotes!$C$2:$C$53,INT((ROW()-2)/6)+1)</f>
        <v>35</v>
      </c>
      <c r="D150" t="str">
        <f>INDEX(Lotes!$A$2:$A$53,INT((ROW()-2)/6)+1)</f>
        <v>RETEX-2024-025</v>
      </c>
      <c r="E150" t="str">
        <f>INDEX(Lotes!$D$2:$D$53,INT((ROW()-2)/6)+1)</f>
        <v>agosto</v>
      </c>
      <c r="F150" t="s">
        <v>110</v>
      </c>
      <c r="G150" s="10">
        <v>3.54</v>
      </c>
      <c r="H150">
        <f t="shared" si="14"/>
        <v>3</v>
      </c>
      <c r="I150" t="str">
        <f t="shared" si="12"/>
        <v>%error</v>
      </c>
      <c r="J150" t="str">
        <f t="shared" si="15"/>
        <v>❌ ALERTA</v>
      </c>
      <c r="K150" t="str">
        <f t="shared" si="16"/>
        <v>🔴 ALERTA</v>
      </c>
      <c r="L150" t="str">
        <f t="shared" si="17"/>
        <v>Supervisor</v>
      </c>
    </row>
    <row r="151" spans="1:12" x14ac:dyDescent="0.3">
      <c r="A151" t="str">
        <f t="shared" si="13"/>
        <v>KPI-150</v>
      </c>
      <c r="B151" s="2">
        <f>INDEX(Lotes!$B$2:$B$53,INT((ROW()-2)/6)+1)</f>
        <v>46263</v>
      </c>
      <c r="C151">
        <f>INDEX(Lotes!$C$2:$C$53,INT((ROW()-2)/6)+1)</f>
        <v>35</v>
      </c>
      <c r="D151" t="str">
        <f>INDEX(Lotes!$A$2:$A$53,INT((ROW()-2)/6)+1)</f>
        <v>RETEX-2024-025</v>
      </c>
      <c r="E151" t="str">
        <f>INDEX(Lotes!$D$2:$D$53,INT((ROW()-2)/6)+1)</f>
        <v>agosto</v>
      </c>
      <c r="F151" t="s">
        <v>111</v>
      </c>
      <c r="G151" s="10">
        <v>0.97</v>
      </c>
      <c r="H151">
        <f t="shared" si="14"/>
        <v>1</v>
      </c>
      <c r="I151" t="str">
        <f t="shared" si="12"/>
        <v>índice</v>
      </c>
      <c r="J151" t="str">
        <f t="shared" si="15"/>
        <v>❌ ALERTA</v>
      </c>
      <c r="K151" t="str">
        <f t="shared" si="16"/>
        <v>🔴 ALERTA</v>
      </c>
      <c r="L151" t="str">
        <f t="shared" si="17"/>
        <v>Ingeniero de Calidad</v>
      </c>
    </row>
    <row r="152" spans="1:12" x14ac:dyDescent="0.3">
      <c r="A152" t="str">
        <f t="shared" si="13"/>
        <v>KPI-151</v>
      </c>
      <c r="B152" s="2">
        <f>INDEX(Lotes!$B$2:$B$53,INT((ROW()-2)/6)+1)</f>
        <v>46270</v>
      </c>
      <c r="C152">
        <f>INDEX(Lotes!$C$2:$C$53,INT((ROW()-2)/6)+1)</f>
        <v>36</v>
      </c>
      <c r="D152" t="str">
        <f>INDEX(Lotes!$A$2:$A$53,INT((ROW()-2)/6)+1)</f>
        <v>RETEX-2024-026</v>
      </c>
      <c r="E152" t="str">
        <f>INDEX(Lotes!$D$2:$D$53,INT((ROW()-2)/6)+1)</f>
        <v>septiembre</v>
      </c>
      <c r="F152" t="s">
        <v>106</v>
      </c>
      <c r="G152" s="10">
        <v>96.71</v>
      </c>
      <c r="H152">
        <f t="shared" si="14"/>
        <v>96</v>
      </c>
      <c r="I152" t="str">
        <f t="shared" si="12"/>
        <v>%pureza</v>
      </c>
      <c r="J152" t="str">
        <f t="shared" si="15"/>
        <v>✅ OK</v>
      </c>
      <c r="K152" t="str">
        <f t="shared" si="16"/>
        <v>🟡 PRECAUCIÓN</v>
      </c>
      <c r="L152" t="str">
        <f t="shared" si="17"/>
        <v>Inspector de Calidad</v>
      </c>
    </row>
    <row r="153" spans="1:12" x14ac:dyDescent="0.3">
      <c r="A153" t="str">
        <f t="shared" si="13"/>
        <v>KPI-152</v>
      </c>
      <c r="B153" s="2">
        <f>INDEX(Lotes!$B$2:$B$53,INT((ROW()-2)/6)+1)</f>
        <v>46270</v>
      </c>
      <c r="C153">
        <f>INDEX(Lotes!$C$2:$C$53,INT((ROW()-2)/6)+1)</f>
        <v>36</v>
      </c>
      <c r="D153" t="str">
        <f>INDEX(Lotes!$A$2:$A$53,INT((ROW()-2)/6)+1)</f>
        <v>RETEX-2024-026</v>
      </c>
      <c r="E153" t="str">
        <f>INDEX(Lotes!$D$2:$D$53,INT((ROW()-2)/6)+1)</f>
        <v>septiembre</v>
      </c>
      <c r="F153" t="s">
        <v>107</v>
      </c>
      <c r="G153" s="10">
        <v>73.27</v>
      </c>
      <c r="H153">
        <f t="shared" si="14"/>
        <v>70</v>
      </c>
      <c r="I153" t="str">
        <f t="shared" si="12"/>
        <v>%rendimiento</v>
      </c>
      <c r="J153" t="str">
        <f t="shared" si="15"/>
        <v>✅ OK</v>
      </c>
      <c r="K153" t="str">
        <f t="shared" si="16"/>
        <v>🟡 PRECAUCIÓN</v>
      </c>
      <c r="L153" t="str">
        <f t="shared" si="17"/>
        <v>Coordinador de Planta</v>
      </c>
    </row>
    <row r="154" spans="1:12" x14ac:dyDescent="0.3">
      <c r="A154" t="str">
        <f t="shared" si="13"/>
        <v>KPI-153</v>
      </c>
      <c r="B154" s="2">
        <f>INDEX(Lotes!$B$2:$B$53,INT((ROW()-2)/6)+1)</f>
        <v>46270</v>
      </c>
      <c r="C154">
        <f>INDEX(Lotes!$C$2:$C$53,INT((ROW()-2)/6)+1)</f>
        <v>36</v>
      </c>
      <c r="D154" t="str">
        <f>INDEX(Lotes!$A$2:$A$53,INT((ROW()-2)/6)+1)</f>
        <v>RETEX-2024-026</v>
      </c>
      <c r="E154" t="str">
        <f>INDEX(Lotes!$D$2:$D$53,INT((ROW()-2)/6)+1)</f>
        <v>septiembre</v>
      </c>
      <c r="F154" t="s">
        <v>108</v>
      </c>
      <c r="G154" s="10">
        <v>7.06</v>
      </c>
      <c r="H154">
        <f t="shared" si="14"/>
        <v>8</v>
      </c>
      <c r="I154" t="str">
        <f t="shared" si="12"/>
        <v>%humedad</v>
      </c>
      <c r="J154" t="str">
        <f t="shared" si="15"/>
        <v>✅ OK</v>
      </c>
      <c r="K154" t="str">
        <f t="shared" si="16"/>
        <v>🟡 PRECAUCIÓN</v>
      </c>
      <c r="L154" t="str">
        <f t="shared" si="17"/>
        <v>Almacenista</v>
      </c>
    </row>
    <row r="155" spans="1:12" x14ac:dyDescent="0.3">
      <c r="A155" t="str">
        <f t="shared" si="13"/>
        <v>KPI-154</v>
      </c>
      <c r="B155" s="2">
        <f>INDEX(Lotes!$B$2:$B$53,INT((ROW()-2)/6)+1)</f>
        <v>46270</v>
      </c>
      <c r="C155">
        <f>INDEX(Lotes!$C$2:$C$53,INT((ROW()-2)/6)+1)</f>
        <v>36</v>
      </c>
      <c r="D155" t="str">
        <f>INDEX(Lotes!$A$2:$A$53,INT((ROW()-2)/6)+1)</f>
        <v>RETEX-2024-026</v>
      </c>
      <c r="E155" t="str">
        <f>INDEX(Lotes!$D$2:$D$53,INT((ROW()-2)/6)+1)</f>
        <v>septiembre</v>
      </c>
      <c r="F155" t="s">
        <v>109</v>
      </c>
      <c r="G155" s="10">
        <v>0.24</v>
      </c>
      <c r="H155">
        <f t="shared" si="14"/>
        <v>1</v>
      </c>
      <c r="I155" t="str">
        <f t="shared" si="12"/>
        <v>%retorno</v>
      </c>
      <c r="J155" t="str">
        <f t="shared" si="15"/>
        <v>✅ OK</v>
      </c>
      <c r="K155" t="str">
        <f t="shared" si="16"/>
        <v>🟢 OK</v>
      </c>
      <c r="L155" t="str">
        <f t="shared" si="17"/>
        <v>Gerente de Calidad</v>
      </c>
    </row>
    <row r="156" spans="1:12" x14ac:dyDescent="0.3">
      <c r="A156" t="str">
        <f t="shared" si="13"/>
        <v>KPI-155</v>
      </c>
      <c r="B156" s="2">
        <f>INDEX(Lotes!$B$2:$B$53,INT((ROW()-2)/6)+1)</f>
        <v>46270</v>
      </c>
      <c r="C156">
        <f>INDEX(Lotes!$C$2:$C$53,INT((ROW()-2)/6)+1)</f>
        <v>36</v>
      </c>
      <c r="D156" t="str">
        <f>INDEX(Lotes!$A$2:$A$53,INT((ROW()-2)/6)+1)</f>
        <v>RETEX-2024-026</v>
      </c>
      <c r="E156" t="str">
        <f>INDEX(Lotes!$D$2:$D$53,INT((ROW()-2)/6)+1)</f>
        <v>septiembre</v>
      </c>
      <c r="F156" t="s">
        <v>110</v>
      </c>
      <c r="G156" s="10">
        <v>3.79</v>
      </c>
      <c r="H156">
        <f t="shared" si="14"/>
        <v>3</v>
      </c>
      <c r="I156" t="str">
        <f t="shared" si="12"/>
        <v>%error</v>
      </c>
      <c r="J156" t="str">
        <f t="shared" si="15"/>
        <v>❌ ALERTA</v>
      </c>
      <c r="K156" t="str">
        <f t="shared" si="16"/>
        <v>🔴 ALERTA</v>
      </c>
      <c r="L156" t="str">
        <f t="shared" si="17"/>
        <v>Supervisor</v>
      </c>
    </row>
    <row r="157" spans="1:12" x14ac:dyDescent="0.3">
      <c r="A157" t="str">
        <f t="shared" si="13"/>
        <v>KPI-156</v>
      </c>
      <c r="B157" s="2">
        <f>INDEX(Lotes!$B$2:$B$53,INT((ROW()-2)/6)+1)</f>
        <v>46270</v>
      </c>
      <c r="C157">
        <f>INDEX(Lotes!$C$2:$C$53,INT((ROW()-2)/6)+1)</f>
        <v>36</v>
      </c>
      <c r="D157" t="str">
        <f>INDEX(Lotes!$A$2:$A$53,INT((ROW()-2)/6)+1)</f>
        <v>RETEX-2024-026</v>
      </c>
      <c r="E157" t="str">
        <f>INDEX(Lotes!$D$2:$D$53,INT((ROW()-2)/6)+1)</f>
        <v>septiembre</v>
      </c>
      <c r="F157" t="s">
        <v>111</v>
      </c>
      <c r="G157" s="10">
        <v>1.08</v>
      </c>
      <c r="H157">
        <f t="shared" si="14"/>
        <v>1</v>
      </c>
      <c r="I157" t="str">
        <f t="shared" si="12"/>
        <v>índice</v>
      </c>
      <c r="J157" t="str">
        <f t="shared" si="15"/>
        <v>✅ OK</v>
      </c>
      <c r="K157" t="str">
        <f t="shared" si="16"/>
        <v>🟢 OK</v>
      </c>
      <c r="L157" t="str">
        <f t="shared" si="17"/>
        <v>Ingeniero de Calidad</v>
      </c>
    </row>
    <row r="158" spans="1:12" x14ac:dyDescent="0.3">
      <c r="A158" t="str">
        <f t="shared" si="13"/>
        <v>KPI-157</v>
      </c>
      <c r="B158" s="2">
        <f>INDEX(Lotes!$B$2:$B$53,INT((ROW()-2)/6)+1)</f>
        <v>46277</v>
      </c>
      <c r="C158">
        <f>INDEX(Lotes!$C$2:$C$53,INT((ROW()-2)/6)+1)</f>
        <v>37</v>
      </c>
      <c r="D158" t="str">
        <f>INDEX(Lotes!$A$2:$A$53,INT((ROW()-2)/6)+1)</f>
        <v>RETEX-2024-027</v>
      </c>
      <c r="E158" t="str">
        <f>INDEX(Lotes!$D$2:$D$53,INT((ROW()-2)/6)+1)</f>
        <v>septiembre</v>
      </c>
      <c r="F158" t="s">
        <v>106</v>
      </c>
      <c r="G158" s="10">
        <v>96.52</v>
      </c>
      <c r="H158">
        <f t="shared" si="14"/>
        <v>96</v>
      </c>
      <c r="I158" t="str">
        <f t="shared" si="12"/>
        <v>%pureza</v>
      </c>
      <c r="J158" t="str">
        <f t="shared" si="15"/>
        <v>✅ OK</v>
      </c>
      <c r="K158" t="str">
        <f t="shared" si="16"/>
        <v>🟡 PRECAUCIÓN</v>
      </c>
      <c r="L158" t="str">
        <f t="shared" si="17"/>
        <v>Inspector de Calidad</v>
      </c>
    </row>
    <row r="159" spans="1:12" x14ac:dyDescent="0.3">
      <c r="A159" t="str">
        <f t="shared" si="13"/>
        <v>KPI-158</v>
      </c>
      <c r="B159" s="2">
        <f>INDEX(Lotes!$B$2:$B$53,INT((ROW()-2)/6)+1)</f>
        <v>46277</v>
      </c>
      <c r="C159">
        <f>INDEX(Lotes!$C$2:$C$53,INT((ROW()-2)/6)+1)</f>
        <v>37</v>
      </c>
      <c r="D159" t="str">
        <f>INDEX(Lotes!$A$2:$A$53,INT((ROW()-2)/6)+1)</f>
        <v>RETEX-2024-027</v>
      </c>
      <c r="E159" t="str">
        <f>INDEX(Lotes!$D$2:$D$53,INT((ROW()-2)/6)+1)</f>
        <v>septiembre</v>
      </c>
      <c r="F159" t="s">
        <v>107</v>
      </c>
      <c r="G159" s="10">
        <v>73.239999999999995</v>
      </c>
      <c r="H159">
        <f t="shared" si="14"/>
        <v>70</v>
      </c>
      <c r="I159" t="str">
        <f t="shared" si="12"/>
        <v>%rendimiento</v>
      </c>
      <c r="J159" t="str">
        <f t="shared" si="15"/>
        <v>✅ OK</v>
      </c>
      <c r="K159" t="str">
        <f t="shared" si="16"/>
        <v>🟡 PRECAUCIÓN</v>
      </c>
      <c r="L159" t="str">
        <f t="shared" si="17"/>
        <v>Coordinador de Planta</v>
      </c>
    </row>
    <row r="160" spans="1:12" x14ac:dyDescent="0.3">
      <c r="A160" t="str">
        <f t="shared" si="13"/>
        <v>KPI-159</v>
      </c>
      <c r="B160" s="2">
        <f>INDEX(Lotes!$B$2:$B$53,INT((ROW()-2)/6)+1)</f>
        <v>46277</v>
      </c>
      <c r="C160">
        <f>INDEX(Lotes!$C$2:$C$53,INT((ROW()-2)/6)+1)</f>
        <v>37</v>
      </c>
      <c r="D160" t="str">
        <f>INDEX(Lotes!$A$2:$A$53,INT((ROW()-2)/6)+1)</f>
        <v>RETEX-2024-027</v>
      </c>
      <c r="E160" t="str">
        <f>INDEX(Lotes!$D$2:$D$53,INT((ROW()-2)/6)+1)</f>
        <v>septiembre</v>
      </c>
      <c r="F160" t="s">
        <v>108</v>
      </c>
      <c r="G160" s="10">
        <v>6.28</v>
      </c>
      <c r="H160">
        <f t="shared" si="14"/>
        <v>8</v>
      </c>
      <c r="I160" t="str">
        <f t="shared" si="12"/>
        <v>%humedad</v>
      </c>
      <c r="J160" t="str">
        <f t="shared" si="15"/>
        <v>✅ OK</v>
      </c>
      <c r="K160" t="str">
        <f t="shared" si="16"/>
        <v>🟢 OK</v>
      </c>
      <c r="L160" t="str">
        <f t="shared" si="17"/>
        <v>Almacenista</v>
      </c>
    </row>
    <row r="161" spans="1:12" x14ac:dyDescent="0.3">
      <c r="A161" t="str">
        <f t="shared" si="13"/>
        <v>KPI-160</v>
      </c>
      <c r="B161" s="2">
        <f>INDEX(Lotes!$B$2:$B$53,INT((ROW()-2)/6)+1)</f>
        <v>46277</v>
      </c>
      <c r="C161">
        <f>INDEX(Lotes!$C$2:$C$53,INT((ROW()-2)/6)+1)</f>
        <v>37</v>
      </c>
      <c r="D161" t="str">
        <f>INDEX(Lotes!$A$2:$A$53,INT((ROW()-2)/6)+1)</f>
        <v>RETEX-2024-027</v>
      </c>
      <c r="E161" t="str">
        <f>INDEX(Lotes!$D$2:$D$53,INT((ROW()-2)/6)+1)</f>
        <v>septiembre</v>
      </c>
      <c r="F161" t="s">
        <v>109</v>
      </c>
      <c r="G161" s="10">
        <v>1.1000000000000001</v>
      </c>
      <c r="H161">
        <f t="shared" si="14"/>
        <v>1</v>
      </c>
      <c r="I161" t="str">
        <f t="shared" si="12"/>
        <v>%retorno</v>
      </c>
      <c r="J161" t="str">
        <f t="shared" si="15"/>
        <v>❌ ALERTA</v>
      </c>
      <c r="K161" t="str">
        <f t="shared" si="16"/>
        <v>🔴 ALERTA</v>
      </c>
      <c r="L161" t="str">
        <f t="shared" si="17"/>
        <v>Gerente de Calidad</v>
      </c>
    </row>
    <row r="162" spans="1:12" x14ac:dyDescent="0.3">
      <c r="A162" t="str">
        <f t="shared" si="13"/>
        <v>KPI-161</v>
      </c>
      <c r="B162" s="2">
        <f>INDEX(Lotes!$B$2:$B$53,INT((ROW()-2)/6)+1)</f>
        <v>46277</v>
      </c>
      <c r="C162">
        <f>INDEX(Lotes!$C$2:$C$53,INT((ROW()-2)/6)+1)</f>
        <v>37</v>
      </c>
      <c r="D162" t="str">
        <f>INDEX(Lotes!$A$2:$A$53,INT((ROW()-2)/6)+1)</f>
        <v>RETEX-2024-027</v>
      </c>
      <c r="E162" t="str">
        <f>INDEX(Lotes!$D$2:$D$53,INT((ROW()-2)/6)+1)</f>
        <v>septiembre</v>
      </c>
      <c r="F162" t="s">
        <v>110</v>
      </c>
      <c r="G162" s="10">
        <v>2.9</v>
      </c>
      <c r="H162">
        <f t="shared" si="14"/>
        <v>3</v>
      </c>
      <c r="I162" t="str">
        <f t="shared" si="12"/>
        <v>%error</v>
      </c>
      <c r="J162" t="str">
        <f t="shared" si="15"/>
        <v>✅ OK</v>
      </c>
      <c r="K162" t="str">
        <f t="shared" si="16"/>
        <v>🟡 PRECAUCIÓN</v>
      </c>
      <c r="L162" t="str">
        <f t="shared" si="17"/>
        <v>Supervisor</v>
      </c>
    </row>
    <row r="163" spans="1:12" x14ac:dyDescent="0.3">
      <c r="A163" t="str">
        <f t="shared" si="13"/>
        <v>KPI-162</v>
      </c>
      <c r="B163" s="2">
        <f>INDEX(Lotes!$B$2:$B$53,INT((ROW()-2)/6)+1)</f>
        <v>46277</v>
      </c>
      <c r="C163">
        <f>INDEX(Lotes!$C$2:$C$53,INT((ROW()-2)/6)+1)</f>
        <v>37</v>
      </c>
      <c r="D163" t="str">
        <f>INDEX(Lotes!$A$2:$A$53,INT((ROW()-2)/6)+1)</f>
        <v>RETEX-2024-027</v>
      </c>
      <c r="E163" t="str">
        <f>INDEX(Lotes!$D$2:$D$53,INT((ROW()-2)/6)+1)</f>
        <v>septiembre</v>
      </c>
      <c r="F163" t="s">
        <v>111</v>
      </c>
      <c r="G163" s="10">
        <v>0.68</v>
      </c>
      <c r="H163">
        <f t="shared" si="14"/>
        <v>1</v>
      </c>
      <c r="I163" t="str">
        <f t="shared" si="12"/>
        <v>índice</v>
      </c>
      <c r="J163" t="str">
        <f t="shared" si="15"/>
        <v>❌ ALERTA</v>
      </c>
      <c r="K163" t="str">
        <f t="shared" si="16"/>
        <v>🔴 ALERTA</v>
      </c>
      <c r="L163" t="str">
        <f t="shared" si="17"/>
        <v>Ingeniero de Calidad</v>
      </c>
    </row>
    <row r="164" spans="1:12" x14ac:dyDescent="0.3">
      <c r="A164" t="str">
        <f t="shared" si="13"/>
        <v>KPI-163</v>
      </c>
      <c r="B164" s="2">
        <f>INDEX(Lotes!$B$2:$B$53,INT((ROW()-2)/6)+1)</f>
        <v>46284</v>
      </c>
      <c r="C164">
        <f>INDEX(Lotes!$C$2:$C$53,INT((ROW()-2)/6)+1)</f>
        <v>38</v>
      </c>
      <c r="D164" t="str">
        <f>INDEX(Lotes!$A$2:$A$53,INT((ROW()-2)/6)+1)</f>
        <v>RETEX-2024-028</v>
      </c>
      <c r="E164" t="str">
        <f>INDEX(Lotes!$D$2:$D$53,INT((ROW()-2)/6)+1)</f>
        <v>septiembre</v>
      </c>
      <c r="F164" t="s">
        <v>106</v>
      </c>
      <c r="G164" s="10">
        <v>98.84</v>
      </c>
      <c r="H164">
        <f t="shared" si="14"/>
        <v>96</v>
      </c>
      <c r="I164" t="str">
        <f t="shared" si="12"/>
        <v>%pureza</v>
      </c>
      <c r="J164" t="str">
        <f t="shared" si="15"/>
        <v>✅ OK</v>
      </c>
      <c r="K164" t="str">
        <f t="shared" si="16"/>
        <v>🟡 PRECAUCIÓN</v>
      </c>
      <c r="L164" t="str">
        <f t="shared" si="17"/>
        <v>Inspector de Calidad</v>
      </c>
    </row>
    <row r="165" spans="1:12" x14ac:dyDescent="0.3">
      <c r="A165" t="str">
        <f t="shared" si="13"/>
        <v>KPI-164</v>
      </c>
      <c r="B165" s="2">
        <f>INDEX(Lotes!$B$2:$B$53,INT((ROW()-2)/6)+1)</f>
        <v>46284</v>
      </c>
      <c r="C165">
        <f>INDEX(Lotes!$C$2:$C$53,INT((ROW()-2)/6)+1)</f>
        <v>38</v>
      </c>
      <c r="D165" t="str">
        <f>INDEX(Lotes!$A$2:$A$53,INT((ROW()-2)/6)+1)</f>
        <v>RETEX-2024-028</v>
      </c>
      <c r="E165" t="str">
        <f>INDEX(Lotes!$D$2:$D$53,INT((ROW()-2)/6)+1)</f>
        <v>septiembre</v>
      </c>
      <c r="F165" t="s">
        <v>107</v>
      </c>
      <c r="G165" s="10">
        <v>71.63</v>
      </c>
      <c r="H165">
        <f t="shared" si="14"/>
        <v>70</v>
      </c>
      <c r="I165" t="str">
        <f t="shared" si="12"/>
        <v>%rendimiento</v>
      </c>
      <c r="J165" t="str">
        <f t="shared" si="15"/>
        <v>✅ OK</v>
      </c>
      <c r="K165" t="str">
        <f t="shared" si="16"/>
        <v>🟡 PRECAUCIÓN</v>
      </c>
      <c r="L165" t="str">
        <f t="shared" si="17"/>
        <v>Coordinador de Planta</v>
      </c>
    </row>
    <row r="166" spans="1:12" x14ac:dyDescent="0.3">
      <c r="A166" t="str">
        <f t="shared" si="13"/>
        <v>KPI-165</v>
      </c>
      <c r="B166" s="2">
        <f>INDEX(Lotes!$B$2:$B$53,INT((ROW()-2)/6)+1)</f>
        <v>46284</v>
      </c>
      <c r="C166">
        <f>INDEX(Lotes!$C$2:$C$53,INT((ROW()-2)/6)+1)</f>
        <v>38</v>
      </c>
      <c r="D166" t="str">
        <f>INDEX(Lotes!$A$2:$A$53,INT((ROW()-2)/6)+1)</f>
        <v>RETEX-2024-028</v>
      </c>
      <c r="E166" t="str">
        <f>INDEX(Lotes!$D$2:$D$53,INT((ROW()-2)/6)+1)</f>
        <v>septiembre</v>
      </c>
      <c r="F166" t="s">
        <v>108</v>
      </c>
      <c r="G166" s="10">
        <v>5.58</v>
      </c>
      <c r="H166">
        <f t="shared" si="14"/>
        <v>8</v>
      </c>
      <c r="I166" t="str">
        <f t="shared" si="12"/>
        <v>%humedad</v>
      </c>
      <c r="J166" t="str">
        <f t="shared" si="15"/>
        <v>✅ OK</v>
      </c>
      <c r="K166" t="str">
        <f t="shared" si="16"/>
        <v>🟢 OK</v>
      </c>
      <c r="L166" t="str">
        <f t="shared" si="17"/>
        <v>Almacenista</v>
      </c>
    </row>
    <row r="167" spans="1:12" x14ac:dyDescent="0.3">
      <c r="A167" t="str">
        <f t="shared" si="13"/>
        <v>KPI-166</v>
      </c>
      <c r="B167" s="2">
        <f>INDEX(Lotes!$B$2:$B$53,INT((ROW()-2)/6)+1)</f>
        <v>46284</v>
      </c>
      <c r="C167">
        <f>INDEX(Lotes!$C$2:$C$53,INT((ROW()-2)/6)+1)</f>
        <v>38</v>
      </c>
      <c r="D167" t="str">
        <f>INDEX(Lotes!$A$2:$A$53,INT((ROW()-2)/6)+1)</f>
        <v>RETEX-2024-028</v>
      </c>
      <c r="E167" t="str">
        <f>INDEX(Lotes!$D$2:$D$53,INT((ROW()-2)/6)+1)</f>
        <v>septiembre</v>
      </c>
      <c r="F167" t="s">
        <v>109</v>
      </c>
      <c r="G167" s="10">
        <v>0.66</v>
      </c>
      <c r="H167">
        <f t="shared" si="14"/>
        <v>1</v>
      </c>
      <c r="I167" t="str">
        <f t="shared" si="12"/>
        <v>%retorno</v>
      </c>
      <c r="J167" t="str">
        <f t="shared" si="15"/>
        <v>✅ OK</v>
      </c>
      <c r="K167" t="str">
        <f t="shared" si="16"/>
        <v>🟢 OK</v>
      </c>
      <c r="L167" t="str">
        <f t="shared" si="17"/>
        <v>Gerente de Calidad</v>
      </c>
    </row>
    <row r="168" spans="1:12" x14ac:dyDescent="0.3">
      <c r="A168" t="str">
        <f t="shared" si="13"/>
        <v>KPI-167</v>
      </c>
      <c r="B168" s="2">
        <f>INDEX(Lotes!$B$2:$B$53,INT((ROW()-2)/6)+1)</f>
        <v>46284</v>
      </c>
      <c r="C168">
        <f>INDEX(Lotes!$C$2:$C$53,INT((ROW()-2)/6)+1)</f>
        <v>38</v>
      </c>
      <c r="D168" t="str">
        <f>INDEX(Lotes!$A$2:$A$53,INT((ROW()-2)/6)+1)</f>
        <v>RETEX-2024-028</v>
      </c>
      <c r="E168" t="str">
        <f>INDEX(Lotes!$D$2:$D$53,INT((ROW()-2)/6)+1)</f>
        <v>septiembre</v>
      </c>
      <c r="F168" t="s">
        <v>110</v>
      </c>
      <c r="G168" s="10">
        <v>2.0499999999999998</v>
      </c>
      <c r="H168">
        <f t="shared" si="14"/>
        <v>3</v>
      </c>
      <c r="I168" t="str">
        <f t="shared" si="12"/>
        <v>%error</v>
      </c>
      <c r="J168" t="str">
        <f t="shared" si="15"/>
        <v>✅ OK</v>
      </c>
      <c r="K168" t="str">
        <f t="shared" si="16"/>
        <v>🟢 OK</v>
      </c>
      <c r="L168" t="str">
        <f t="shared" si="17"/>
        <v>Supervisor</v>
      </c>
    </row>
    <row r="169" spans="1:12" x14ac:dyDescent="0.3">
      <c r="A169" t="str">
        <f t="shared" si="13"/>
        <v>KPI-168</v>
      </c>
      <c r="B169" s="2">
        <f>INDEX(Lotes!$B$2:$B$53,INT((ROW()-2)/6)+1)</f>
        <v>46284</v>
      </c>
      <c r="C169">
        <f>INDEX(Lotes!$C$2:$C$53,INT((ROW()-2)/6)+1)</f>
        <v>38</v>
      </c>
      <c r="D169" t="str">
        <f>INDEX(Lotes!$A$2:$A$53,INT((ROW()-2)/6)+1)</f>
        <v>RETEX-2024-028</v>
      </c>
      <c r="E169" t="str">
        <f>INDEX(Lotes!$D$2:$D$53,INT((ROW()-2)/6)+1)</f>
        <v>septiembre</v>
      </c>
      <c r="F169" t="s">
        <v>111</v>
      </c>
      <c r="G169" s="10">
        <v>1.4</v>
      </c>
      <c r="H169">
        <f t="shared" si="14"/>
        <v>1</v>
      </c>
      <c r="I169" t="str">
        <f t="shared" si="12"/>
        <v>índice</v>
      </c>
      <c r="J169" t="str">
        <f t="shared" si="15"/>
        <v>✅ OK</v>
      </c>
      <c r="K169" t="str">
        <f t="shared" si="16"/>
        <v>🟢 OK</v>
      </c>
      <c r="L169" t="str">
        <f t="shared" si="17"/>
        <v>Ingeniero de Calidad</v>
      </c>
    </row>
    <row r="170" spans="1:12" x14ac:dyDescent="0.3">
      <c r="A170" t="str">
        <f t="shared" si="13"/>
        <v>KPI-169</v>
      </c>
      <c r="B170" s="2">
        <f>INDEX(Lotes!$B$2:$B$53,INT((ROW()-2)/6)+1)</f>
        <v>46291</v>
      </c>
      <c r="C170">
        <f>INDEX(Lotes!$C$2:$C$53,INT((ROW()-2)/6)+1)</f>
        <v>39</v>
      </c>
      <c r="D170" t="str">
        <f>INDEX(Lotes!$A$2:$A$53,INT((ROW()-2)/6)+1)</f>
        <v>RETEX-2024-029</v>
      </c>
      <c r="E170" t="str">
        <f>INDEX(Lotes!$D$2:$D$53,INT((ROW()-2)/6)+1)</f>
        <v>septiembre</v>
      </c>
      <c r="F170" t="s">
        <v>106</v>
      </c>
      <c r="G170" s="10">
        <v>97.64</v>
      </c>
      <c r="H170">
        <f t="shared" si="14"/>
        <v>96</v>
      </c>
      <c r="I170" t="str">
        <f t="shared" si="12"/>
        <v>%pureza</v>
      </c>
      <c r="J170" t="str">
        <f t="shared" si="15"/>
        <v>✅ OK</v>
      </c>
      <c r="K170" t="str">
        <f t="shared" si="16"/>
        <v>🟡 PRECAUCIÓN</v>
      </c>
      <c r="L170" t="str">
        <f t="shared" si="17"/>
        <v>Inspector de Calidad</v>
      </c>
    </row>
    <row r="171" spans="1:12" x14ac:dyDescent="0.3">
      <c r="A171" t="str">
        <f t="shared" si="13"/>
        <v>KPI-170</v>
      </c>
      <c r="B171" s="2">
        <f>INDEX(Lotes!$B$2:$B$53,INT((ROW()-2)/6)+1)</f>
        <v>46291</v>
      </c>
      <c r="C171">
        <f>INDEX(Lotes!$C$2:$C$53,INT((ROW()-2)/6)+1)</f>
        <v>39</v>
      </c>
      <c r="D171" t="str">
        <f>INDEX(Lotes!$A$2:$A$53,INT((ROW()-2)/6)+1)</f>
        <v>RETEX-2024-029</v>
      </c>
      <c r="E171" t="str">
        <f>INDEX(Lotes!$D$2:$D$53,INT((ROW()-2)/6)+1)</f>
        <v>septiembre</v>
      </c>
      <c r="F171" t="s">
        <v>107</v>
      </c>
      <c r="G171" s="10">
        <v>73.36</v>
      </c>
      <c r="H171">
        <f t="shared" si="14"/>
        <v>70</v>
      </c>
      <c r="I171" t="str">
        <f t="shared" si="12"/>
        <v>%rendimiento</v>
      </c>
      <c r="J171" t="str">
        <f t="shared" si="15"/>
        <v>✅ OK</v>
      </c>
      <c r="K171" t="str">
        <f t="shared" si="16"/>
        <v>🟡 PRECAUCIÓN</v>
      </c>
      <c r="L171" t="str">
        <f t="shared" si="17"/>
        <v>Coordinador de Planta</v>
      </c>
    </row>
    <row r="172" spans="1:12" x14ac:dyDescent="0.3">
      <c r="A172" t="str">
        <f t="shared" si="13"/>
        <v>KPI-171</v>
      </c>
      <c r="B172" s="2">
        <f>INDEX(Lotes!$B$2:$B$53,INT((ROW()-2)/6)+1)</f>
        <v>46291</v>
      </c>
      <c r="C172">
        <f>INDEX(Lotes!$C$2:$C$53,INT((ROW()-2)/6)+1)</f>
        <v>39</v>
      </c>
      <c r="D172" t="str">
        <f>INDEX(Lotes!$A$2:$A$53,INT((ROW()-2)/6)+1)</f>
        <v>RETEX-2024-029</v>
      </c>
      <c r="E172" t="str">
        <f>INDEX(Lotes!$D$2:$D$53,INT((ROW()-2)/6)+1)</f>
        <v>septiembre</v>
      </c>
      <c r="F172" t="s">
        <v>108</v>
      </c>
      <c r="G172" s="10">
        <v>6.56</v>
      </c>
      <c r="H172">
        <f t="shared" si="14"/>
        <v>8</v>
      </c>
      <c r="I172" t="str">
        <f t="shared" si="12"/>
        <v>%humedad</v>
      </c>
      <c r="J172" t="str">
        <f t="shared" si="15"/>
        <v>✅ OK</v>
      </c>
      <c r="K172" t="str">
        <f t="shared" si="16"/>
        <v>🟢 OK</v>
      </c>
      <c r="L172" t="str">
        <f t="shared" si="17"/>
        <v>Almacenista</v>
      </c>
    </row>
    <row r="173" spans="1:12" x14ac:dyDescent="0.3">
      <c r="A173" t="str">
        <f t="shared" si="13"/>
        <v>KPI-172</v>
      </c>
      <c r="B173" s="2">
        <f>INDEX(Lotes!$B$2:$B$53,INT((ROW()-2)/6)+1)</f>
        <v>46291</v>
      </c>
      <c r="C173">
        <f>INDEX(Lotes!$C$2:$C$53,INT((ROW()-2)/6)+1)</f>
        <v>39</v>
      </c>
      <c r="D173" t="str">
        <f>INDEX(Lotes!$A$2:$A$53,INT((ROW()-2)/6)+1)</f>
        <v>RETEX-2024-029</v>
      </c>
      <c r="E173" t="str">
        <f>INDEX(Lotes!$D$2:$D$53,INT((ROW()-2)/6)+1)</f>
        <v>septiembre</v>
      </c>
      <c r="F173" t="s">
        <v>109</v>
      </c>
      <c r="G173" s="10">
        <v>0.41</v>
      </c>
      <c r="H173">
        <f t="shared" si="14"/>
        <v>1</v>
      </c>
      <c r="I173" t="str">
        <f t="shared" si="12"/>
        <v>%retorno</v>
      </c>
      <c r="J173" t="str">
        <f t="shared" si="15"/>
        <v>✅ OK</v>
      </c>
      <c r="K173" t="str">
        <f t="shared" si="16"/>
        <v>🟢 OK</v>
      </c>
      <c r="L173" t="str">
        <f t="shared" si="17"/>
        <v>Gerente de Calidad</v>
      </c>
    </row>
    <row r="174" spans="1:12" x14ac:dyDescent="0.3">
      <c r="A174" t="str">
        <f t="shared" si="13"/>
        <v>KPI-173</v>
      </c>
      <c r="B174" s="2">
        <f>INDEX(Lotes!$B$2:$B$53,INT((ROW()-2)/6)+1)</f>
        <v>46291</v>
      </c>
      <c r="C174">
        <f>INDEX(Lotes!$C$2:$C$53,INT((ROW()-2)/6)+1)</f>
        <v>39</v>
      </c>
      <c r="D174" t="str">
        <f>INDEX(Lotes!$A$2:$A$53,INT((ROW()-2)/6)+1)</f>
        <v>RETEX-2024-029</v>
      </c>
      <c r="E174" t="str">
        <f>INDEX(Lotes!$D$2:$D$53,INT((ROW()-2)/6)+1)</f>
        <v>septiembre</v>
      </c>
      <c r="F174" t="s">
        <v>110</v>
      </c>
      <c r="G174" s="10">
        <v>2.34</v>
      </c>
      <c r="H174">
        <f t="shared" si="14"/>
        <v>3</v>
      </c>
      <c r="I174" t="str">
        <f t="shared" si="12"/>
        <v>%error</v>
      </c>
      <c r="J174" t="str">
        <f t="shared" si="15"/>
        <v>✅ OK</v>
      </c>
      <c r="K174" t="str">
        <f t="shared" si="16"/>
        <v>🟢 OK</v>
      </c>
      <c r="L174" t="str">
        <f t="shared" si="17"/>
        <v>Supervisor</v>
      </c>
    </row>
    <row r="175" spans="1:12" x14ac:dyDescent="0.3">
      <c r="A175" t="str">
        <f t="shared" si="13"/>
        <v>KPI-174</v>
      </c>
      <c r="B175" s="2">
        <f>INDEX(Lotes!$B$2:$B$53,INT((ROW()-2)/6)+1)</f>
        <v>46291</v>
      </c>
      <c r="C175">
        <f>INDEX(Lotes!$C$2:$C$53,INT((ROW()-2)/6)+1)</f>
        <v>39</v>
      </c>
      <c r="D175" t="str">
        <f>INDEX(Lotes!$A$2:$A$53,INT((ROW()-2)/6)+1)</f>
        <v>RETEX-2024-029</v>
      </c>
      <c r="E175" t="str">
        <f>INDEX(Lotes!$D$2:$D$53,INT((ROW()-2)/6)+1)</f>
        <v>septiembre</v>
      </c>
      <c r="F175" t="s">
        <v>111</v>
      </c>
      <c r="G175" s="10">
        <v>0.74</v>
      </c>
      <c r="H175">
        <f t="shared" si="14"/>
        <v>1</v>
      </c>
      <c r="I175" t="str">
        <f t="shared" si="12"/>
        <v>índice</v>
      </c>
      <c r="J175" t="str">
        <f t="shared" si="15"/>
        <v>❌ ALERTA</v>
      </c>
      <c r="K175" t="str">
        <f t="shared" si="16"/>
        <v>🔴 ALERTA</v>
      </c>
      <c r="L175" t="str">
        <f t="shared" si="17"/>
        <v>Ingeniero de Calidad</v>
      </c>
    </row>
    <row r="176" spans="1:12" x14ac:dyDescent="0.3">
      <c r="A176" t="str">
        <f t="shared" si="13"/>
        <v>KPI-175</v>
      </c>
      <c r="B176" s="2">
        <f>INDEX(Lotes!$B$2:$B$53,INT((ROW()-2)/6)+1)</f>
        <v>46298</v>
      </c>
      <c r="C176">
        <f>INDEX(Lotes!$C$2:$C$53,INT((ROW()-2)/6)+1)</f>
        <v>40</v>
      </c>
      <c r="D176" t="str">
        <f>INDEX(Lotes!$A$2:$A$53,INT((ROW()-2)/6)+1)</f>
        <v>RETEX-2024-030</v>
      </c>
      <c r="E176" t="str">
        <f>INDEX(Lotes!$D$2:$D$53,INT((ROW()-2)/6)+1)</f>
        <v>octubre</v>
      </c>
      <c r="F176" t="s">
        <v>106</v>
      </c>
      <c r="G176" s="10">
        <v>98.73</v>
      </c>
      <c r="H176">
        <f t="shared" si="14"/>
        <v>96</v>
      </c>
      <c r="I176" t="str">
        <f t="shared" si="12"/>
        <v>%pureza</v>
      </c>
      <c r="J176" t="str">
        <f t="shared" si="15"/>
        <v>✅ OK</v>
      </c>
      <c r="K176" t="str">
        <f t="shared" si="16"/>
        <v>🟡 PRECAUCIÓN</v>
      </c>
      <c r="L176" t="str">
        <f t="shared" si="17"/>
        <v>Inspector de Calidad</v>
      </c>
    </row>
    <row r="177" spans="1:12" x14ac:dyDescent="0.3">
      <c r="A177" t="str">
        <f t="shared" si="13"/>
        <v>KPI-176</v>
      </c>
      <c r="B177" s="2">
        <f>INDEX(Lotes!$B$2:$B$53,INT((ROW()-2)/6)+1)</f>
        <v>46298</v>
      </c>
      <c r="C177">
        <f>INDEX(Lotes!$C$2:$C$53,INT((ROW()-2)/6)+1)</f>
        <v>40</v>
      </c>
      <c r="D177" t="str">
        <f>INDEX(Lotes!$A$2:$A$53,INT((ROW()-2)/6)+1)</f>
        <v>RETEX-2024-030</v>
      </c>
      <c r="E177" t="str">
        <f>INDEX(Lotes!$D$2:$D$53,INT((ROW()-2)/6)+1)</f>
        <v>octubre</v>
      </c>
      <c r="F177" t="s">
        <v>107</v>
      </c>
      <c r="G177" s="10">
        <v>70.05</v>
      </c>
      <c r="H177">
        <f t="shared" si="14"/>
        <v>70</v>
      </c>
      <c r="I177" t="str">
        <f t="shared" si="12"/>
        <v>%rendimiento</v>
      </c>
      <c r="J177" t="str">
        <f t="shared" si="15"/>
        <v>✅ OK</v>
      </c>
      <c r="K177" t="str">
        <f t="shared" si="16"/>
        <v>🟡 PRECAUCIÓN</v>
      </c>
      <c r="L177" t="str">
        <f t="shared" si="17"/>
        <v>Coordinador de Planta</v>
      </c>
    </row>
    <row r="178" spans="1:12" x14ac:dyDescent="0.3">
      <c r="A178" t="str">
        <f t="shared" si="13"/>
        <v>KPI-177</v>
      </c>
      <c r="B178" s="2">
        <f>INDEX(Lotes!$B$2:$B$53,INT((ROW()-2)/6)+1)</f>
        <v>46298</v>
      </c>
      <c r="C178">
        <f>INDEX(Lotes!$C$2:$C$53,INT((ROW()-2)/6)+1)</f>
        <v>40</v>
      </c>
      <c r="D178" t="str">
        <f>INDEX(Lotes!$A$2:$A$53,INT((ROW()-2)/6)+1)</f>
        <v>RETEX-2024-030</v>
      </c>
      <c r="E178" t="str">
        <f>INDEX(Lotes!$D$2:$D$53,INT((ROW()-2)/6)+1)</f>
        <v>octubre</v>
      </c>
      <c r="F178" t="s">
        <v>108</v>
      </c>
      <c r="G178" s="10">
        <v>7.97</v>
      </c>
      <c r="H178">
        <f t="shared" si="14"/>
        <v>8</v>
      </c>
      <c r="I178" t="str">
        <f t="shared" si="12"/>
        <v>%humedad</v>
      </c>
      <c r="J178" t="str">
        <f t="shared" si="15"/>
        <v>✅ OK</v>
      </c>
      <c r="K178" t="str">
        <f t="shared" si="16"/>
        <v>🟡 PRECAUCIÓN</v>
      </c>
      <c r="L178" t="str">
        <f t="shared" si="17"/>
        <v>Almacenista</v>
      </c>
    </row>
    <row r="179" spans="1:12" x14ac:dyDescent="0.3">
      <c r="A179" t="str">
        <f t="shared" si="13"/>
        <v>KPI-178</v>
      </c>
      <c r="B179" s="2">
        <f>INDEX(Lotes!$B$2:$B$53,INT((ROW()-2)/6)+1)</f>
        <v>46298</v>
      </c>
      <c r="C179">
        <f>INDEX(Lotes!$C$2:$C$53,INT((ROW()-2)/6)+1)</f>
        <v>40</v>
      </c>
      <c r="D179" t="str">
        <f>INDEX(Lotes!$A$2:$A$53,INT((ROW()-2)/6)+1)</f>
        <v>RETEX-2024-030</v>
      </c>
      <c r="E179" t="str">
        <f>INDEX(Lotes!$D$2:$D$53,INT((ROW()-2)/6)+1)</f>
        <v>octubre</v>
      </c>
      <c r="F179" t="s">
        <v>109</v>
      </c>
      <c r="G179" s="10">
        <v>1.17</v>
      </c>
      <c r="H179">
        <f t="shared" si="14"/>
        <v>1</v>
      </c>
      <c r="I179" t="str">
        <f t="shared" si="12"/>
        <v>%retorno</v>
      </c>
      <c r="J179" t="str">
        <f t="shared" si="15"/>
        <v>❌ ALERTA</v>
      </c>
      <c r="K179" t="str">
        <f t="shared" si="16"/>
        <v>🔴 ALERTA</v>
      </c>
      <c r="L179" t="str">
        <f t="shared" si="17"/>
        <v>Gerente de Calidad</v>
      </c>
    </row>
    <row r="180" spans="1:12" x14ac:dyDescent="0.3">
      <c r="A180" t="str">
        <f t="shared" si="13"/>
        <v>KPI-179</v>
      </c>
      <c r="B180" s="2">
        <f>INDEX(Lotes!$B$2:$B$53,INT((ROW()-2)/6)+1)</f>
        <v>46298</v>
      </c>
      <c r="C180">
        <f>INDEX(Lotes!$C$2:$C$53,INT((ROW()-2)/6)+1)</f>
        <v>40</v>
      </c>
      <c r="D180" t="str">
        <f>INDEX(Lotes!$A$2:$A$53,INT((ROW()-2)/6)+1)</f>
        <v>RETEX-2024-030</v>
      </c>
      <c r="E180" t="str">
        <f>INDEX(Lotes!$D$2:$D$53,INT((ROW()-2)/6)+1)</f>
        <v>octubre</v>
      </c>
      <c r="F180" t="s">
        <v>110</v>
      </c>
      <c r="G180" s="10">
        <v>2.29</v>
      </c>
      <c r="H180">
        <f t="shared" si="14"/>
        <v>3</v>
      </c>
      <c r="I180" t="str">
        <f t="shared" si="12"/>
        <v>%error</v>
      </c>
      <c r="J180" t="str">
        <f t="shared" si="15"/>
        <v>✅ OK</v>
      </c>
      <c r="K180" t="str">
        <f t="shared" si="16"/>
        <v>🟢 OK</v>
      </c>
      <c r="L180" t="str">
        <f t="shared" si="17"/>
        <v>Supervisor</v>
      </c>
    </row>
    <row r="181" spans="1:12" x14ac:dyDescent="0.3">
      <c r="A181" t="str">
        <f t="shared" si="13"/>
        <v>KPI-180</v>
      </c>
      <c r="B181" s="2">
        <f>INDEX(Lotes!$B$2:$B$53,INT((ROW()-2)/6)+1)</f>
        <v>46298</v>
      </c>
      <c r="C181">
        <f>INDEX(Lotes!$C$2:$C$53,INT((ROW()-2)/6)+1)</f>
        <v>40</v>
      </c>
      <c r="D181" t="str">
        <f>INDEX(Lotes!$A$2:$A$53,INT((ROW()-2)/6)+1)</f>
        <v>RETEX-2024-030</v>
      </c>
      <c r="E181" t="str">
        <f>INDEX(Lotes!$D$2:$D$53,INT((ROW()-2)/6)+1)</f>
        <v>octubre</v>
      </c>
      <c r="F181" t="s">
        <v>111</v>
      </c>
      <c r="G181" s="10">
        <v>0.88</v>
      </c>
      <c r="H181">
        <f t="shared" si="14"/>
        <v>1</v>
      </c>
      <c r="I181" t="str">
        <f t="shared" si="12"/>
        <v>índice</v>
      </c>
      <c r="J181" t="str">
        <f t="shared" si="15"/>
        <v>❌ ALERTA</v>
      </c>
      <c r="K181" t="str">
        <f t="shared" si="16"/>
        <v>🔴 ALERTA</v>
      </c>
      <c r="L181" t="str">
        <f t="shared" si="17"/>
        <v>Ingeniero de Calidad</v>
      </c>
    </row>
    <row r="182" spans="1:12" x14ac:dyDescent="0.3">
      <c r="A182" t="str">
        <f t="shared" si="13"/>
        <v>KPI-181</v>
      </c>
      <c r="B182" s="2">
        <f>INDEX(Lotes!$B$2:$B$53,INT((ROW()-2)/6)+1)</f>
        <v>46305</v>
      </c>
      <c r="C182">
        <f>INDEX(Lotes!$C$2:$C$53,INT((ROW()-2)/6)+1)</f>
        <v>41</v>
      </c>
      <c r="D182" t="str">
        <f>INDEX(Lotes!$A$2:$A$53,INT((ROW()-2)/6)+1)</f>
        <v>RETEX-2024-031</v>
      </c>
      <c r="E182" t="str">
        <f>INDEX(Lotes!$D$2:$D$53,INT((ROW()-2)/6)+1)</f>
        <v>octubre</v>
      </c>
      <c r="F182" t="s">
        <v>106</v>
      </c>
      <c r="G182" s="10">
        <v>97.42</v>
      </c>
      <c r="H182">
        <f t="shared" si="14"/>
        <v>96</v>
      </c>
      <c r="I182" t="str">
        <f t="shared" si="12"/>
        <v>%pureza</v>
      </c>
      <c r="J182" t="str">
        <f t="shared" si="15"/>
        <v>✅ OK</v>
      </c>
      <c r="K182" t="str">
        <f t="shared" si="16"/>
        <v>🟡 PRECAUCIÓN</v>
      </c>
      <c r="L182" t="str">
        <f t="shared" si="17"/>
        <v>Inspector de Calidad</v>
      </c>
    </row>
    <row r="183" spans="1:12" x14ac:dyDescent="0.3">
      <c r="A183" t="str">
        <f t="shared" si="13"/>
        <v>KPI-182</v>
      </c>
      <c r="B183" s="2">
        <f>INDEX(Lotes!$B$2:$B$53,INT((ROW()-2)/6)+1)</f>
        <v>46305</v>
      </c>
      <c r="C183">
        <f>INDEX(Lotes!$C$2:$C$53,INT((ROW()-2)/6)+1)</f>
        <v>41</v>
      </c>
      <c r="D183" t="str">
        <f>INDEX(Lotes!$A$2:$A$53,INT((ROW()-2)/6)+1)</f>
        <v>RETEX-2024-031</v>
      </c>
      <c r="E183" t="str">
        <f>INDEX(Lotes!$D$2:$D$53,INT((ROW()-2)/6)+1)</f>
        <v>octubre</v>
      </c>
      <c r="F183" t="s">
        <v>107</v>
      </c>
      <c r="G183" s="10">
        <v>71.349999999999994</v>
      </c>
      <c r="H183">
        <f t="shared" si="14"/>
        <v>70</v>
      </c>
      <c r="I183" t="str">
        <f t="shared" si="12"/>
        <v>%rendimiento</v>
      </c>
      <c r="J183" t="str">
        <f t="shared" si="15"/>
        <v>✅ OK</v>
      </c>
      <c r="K183" t="str">
        <f t="shared" si="16"/>
        <v>🟡 PRECAUCIÓN</v>
      </c>
      <c r="L183" t="str">
        <f t="shared" si="17"/>
        <v>Coordinador de Planta</v>
      </c>
    </row>
    <row r="184" spans="1:12" x14ac:dyDescent="0.3">
      <c r="A184" t="str">
        <f t="shared" si="13"/>
        <v>KPI-183</v>
      </c>
      <c r="B184" s="2">
        <f>INDEX(Lotes!$B$2:$B$53,INT((ROW()-2)/6)+1)</f>
        <v>46305</v>
      </c>
      <c r="C184">
        <f>INDEX(Lotes!$C$2:$C$53,INT((ROW()-2)/6)+1)</f>
        <v>41</v>
      </c>
      <c r="D184" t="str">
        <f>INDEX(Lotes!$A$2:$A$53,INT((ROW()-2)/6)+1)</f>
        <v>RETEX-2024-031</v>
      </c>
      <c r="E184" t="str">
        <f>INDEX(Lotes!$D$2:$D$53,INT((ROW()-2)/6)+1)</f>
        <v>octubre</v>
      </c>
      <c r="F184" t="s">
        <v>108</v>
      </c>
      <c r="G184" s="10">
        <v>4.07</v>
      </c>
      <c r="H184">
        <f t="shared" si="14"/>
        <v>8</v>
      </c>
      <c r="I184" t="str">
        <f t="shared" si="12"/>
        <v>%humedad</v>
      </c>
      <c r="J184" t="str">
        <f t="shared" si="15"/>
        <v>✅ OK</v>
      </c>
      <c r="K184" t="str">
        <f t="shared" si="16"/>
        <v>🟢 OK</v>
      </c>
      <c r="L184" t="str">
        <f t="shared" si="17"/>
        <v>Almacenista</v>
      </c>
    </row>
    <row r="185" spans="1:12" x14ac:dyDescent="0.3">
      <c r="A185" t="str">
        <f t="shared" si="13"/>
        <v>KPI-184</v>
      </c>
      <c r="B185" s="2">
        <f>INDEX(Lotes!$B$2:$B$53,INT((ROW()-2)/6)+1)</f>
        <v>46305</v>
      </c>
      <c r="C185">
        <f>INDEX(Lotes!$C$2:$C$53,INT((ROW()-2)/6)+1)</f>
        <v>41</v>
      </c>
      <c r="D185" t="str">
        <f>INDEX(Lotes!$A$2:$A$53,INT((ROW()-2)/6)+1)</f>
        <v>RETEX-2024-031</v>
      </c>
      <c r="E185" t="str">
        <f>INDEX(Lotes!$D$2:$D$53,INT((ROW()-2)/6)+1)</f>
        <v>octubre</v>
      </c>
      <c r="F185" t="s">
        <v>109</v>
      </c>
      <c r="G185" s="10">
        <v>0.69</v>
      </c>
      <c r="H185">
        <f t="shared" si="14"/>
        <v>1</v>
      </c>
      <c r="I185" t="str">
        <f t="shared" si="12"/>
        <v>%retorno</v>
      </c>
      <c r="J185" t="str">
        <f t="shared" si="15"/>
        <v>✅ OK</v>
      </c>
      <c r="K185" t="str">
        <f t="shared" si="16"/>
        <v>🟢 OK</v>
      </c>
      <c r="L185" t="str">
        <f t="shared" si="17"/>
        <v>Gerente de Calidad</v>
      </c>
    </row>
    <row r="186" spans="1:12" x14ac:dyDescent="0.3">
      <c r="A186" t="str">
        <f t="shared" si="13"/>
        <v>KPI-185</v>
      </c>
      <c r="B186" s="2">
        <f>INDEX(Lotes!$B$2:$B$53,INT((ROW()-2)/6)+1)</f>
        <v>46305</v>
      </c>
      <c r="C186">
        <f>INDEX(Lotes!$C$2:$C$53,INT((ROW()-2)/6)+1)</f>
        <v>41</v>
      </c>
      <c r="D186" t="str">
        <f>INDEX(Lotes!$A$2:$A$53,INT((ROW()-2)/6)+1)</f>
        <v>RETEX-2024-031</v>
      </c>
      <c r="E186" t="str">
        <f>INDEX(Lotes!$D$2:$D$53,INT((ROW()-2)/6)+1)</f>
        <v>octubre</v>
      </c>
      <c r="F186" t="s">
        <v>110</v>
      </c>
      <c r="G186" s="10">
        <v>2.4700000000000002</v>
      </c>
      <c r="H186">
        <f t="shared" si="14"/>
        <v>3</v>
      </c>
      <c r="I186" t="str">
        <f t="shared" si="12"/>
        <v>%error</v>
      </c>
      <c r="J186" t="str">
        <f t="shared" si="15"/>
        <v>✅ OK</v>
      </c>
      <c r="K186" t="str">
        <f t="shared" si="16"/>
        <v>🟢 OK</v>
      </c>
      <c r="L186" t="str">
        <f t="shared" si="17"/>
        <v>Supervisor</v>
      </c>
    </row>
    <row r="187" spans="1:12" x14ac:dyDescent="0.3">
      <c r="A187" t="str">
        <f t="shared" si="13"/>
        <v>KPI-186</v>
      </c>
      <c r="B187" s="2">
        <f>INDEX(Lotes!$B$2:$B$53,INT((ROW()-2)/6)+1)</f>
        <v>46305</v>
      </c>
      <c r="C187">
        <f>INDEX(Lotes!$C$2:$C$53,INT((ROW()-2)/6)+1)</f>
        <v>41</v>
      </c>
      <c r="D187" t="str">
        <f>INDEX(Lotes!$A$2:$A$53,INT((ROW()-2)/6)+1)</f>
        <v>RETEX-2024-031</v>
      </c>
      <c r="E187" t="str">
        <f>INDEX(Lotes!$D$2:$D$53,INT((ROW()-2)/6)+1)</f>
        <v>octubre</v>
      </c>
      <c r="F187" t="s">
        <v>111</v>
      </c>
      <c r="G187" s="10">
        <v>0.73</v>
      </c>
      <c r="H187">
        <f t="shared" si="14"/>
        <v>1</v>
      </c>
      <c r="I187" t="str">
        <f t="shared" si="12"/>
        <v>índice</v>
      </c>
      <c r="J187" t="str">
        <f t="shared" si="15"/>
        <v>❌ ALERTA</v>
      </c>
      <c r="K187" t="str">
        <f t="shared" si="16"/>
        <v>🔴 ALERTA</v>
      </c>
      <c r="L187" t="str">
        <f t="shared" si="17"/>
        <v>Ingeniero de Calidad</v>
      </c>
    </row>
    <row r="188" spans="1:12" x14ac:dyDescent="0.3">
      <c r="A188" t="str">
        <f t="shared" si="13"/>
        <v>KPI-187</v>
      </c>
      <c r="B188" s="2">
        <f>INDEX(Lotes!$B$2:$B$53,INT((ROW()-2)/6)+1)</f>
        <v>46312</v>
      </c>
      <c r="C188">
        <f>INDEX(Lotes!$C$2:$C$53,INT((ROW()-2)/6)+1)</f>
        <v>42</v>
      </c>
      <c r="D188" t="str">
        <f>INDEX(Lotes!$A$2:$A$53,INT((ROW()-2)/6)+1)</f>
        <v>RETEX-2024-032</v>
      </c>
      <c r="E188" t="str">
        <f>INDEX(Lotes!$D$2:$D$53,INT((ROW()-2)/6)+1)</f>
        <v>octubre</v>
      </c>
      <c r="F188" t="s">
        <v>106</v>
      </c>
      <c r="G188" s="10">
        <v>96.96</v>
      </c>
      <c r="H188">
        <f t="shared" si="14"/>
        <v>96</v>
      </c>
      <c r="I188" t="str">
        <f t="shared" si="12"/>
        <v>%pureza</v>
      </c>
      <c r="J188" t="str">
        <f t="shared" si="15"/>
        <v>✅ OK</v>
      </c>
      <c r="K188" t="str">
        <f t="shared" si="16"/>
        <v>🟡 PRECAUCIÓN</v>
      </c>
      <c r="L188" t="str">
        <f t="shared" si="17"/>
        <v>Inspector de Calidad</v>
      </c>
    </row>
    <row r="189" spans="1:12" x14ac:dyDescent="0.3">
      <c r="A189" t="str">
        <f t="shared" si="13"/>
        <v>KPI-188</v>
      </c>
      <c r="B189" s="2">
        <f>INDEX(Lotes!$B$2:$B$53,INT((ROW()-2)/6)+1)</f>
        <v>46312</v>
      </c>
      <c r="C189">
        <f>INDEX(Lotes!$C$2:$C$53,INT((ROW()-2)/6)+1)</f>
        <v>42</v>
      </c>
      <c r="D189" t="str">
        <f>INDEX(Lotes!$A$2:$A$53,INT((ROW()-2)/6)+1)</f>
        <v>RETEX-2024-032</v>
      </c>
      <c r="E189" t="str">
        <f>INDEX(Lotes!$D$2:$D$53,INT((ROW()-2)/6)+1)</f>
        <v>octubre</v>
      </c>
      <c r="F189" t="s">
        <v>107</v>
      </c>
      <c r="G189" s="10">
        <v>75.06</v>
      </c>
      <c r="H189">
        <f t="shared" si="14"/>
        <v>70</v>
      </c>
      <c r="I189" t="str">
        <f t="shared" si="12"/>
        <v>%rendimiento</v>
      </c>
      <c r="J189" t="str">
        <f t="shared" si="15"/>
        <v>✅ OK</v>
      </c>
      <c r="K189" t="str">
        <f t="shared" si="16"/>
        <v>🟢 OK</v>
      </c>
      <c r="L189" t="str">
        <f t="shared" si="17"/>
        <v>Coordinador de Planta</v>
      </c>
    </row>
    <row r="190" spans="1:12" x14ac:dyDescent="0.3">
      <c r="A190" t="str">
        <f t="shared" si="13"/>
        <v>KPI-189</v>
      </c>
      <c r="B190" s="2">
        <f>INDEX(Lotes!$B$2:$B$53,INT((ROW()-2)/6)+1)</f>
        <v>46312</v>
      </c>
      <c r="C190">
        <f>INDEX(Lotes!$C$2:$C$53,INT((ROW()-2)/6)+1)</f>
        <v>42</v>
      </c>
      <c r="D190" t="str">
        <f>INDEX(Lotes!$A$2:$A$53,INT((ROW()-2)/6)+1)</f>
        <v>RETEX-2024-032</v>
      </c>
      <c r="E190" t="str">
        <f>INDEX(Lotes!$D$2:$D$53,INT((ROW()-2)/6)+1)</f>
        <v>octubre</v>
      </c>
      <c r="F190" t="s">
        <v>108</v>
      </c>
      <c r="G190" s="10">
        <v>7.52</v>
      </c>
      <c r="H190">
        <f t="shared" si="14"/>
        <v>8</v>
      </c>
      <c r="I190" t="str">
        <f t="shared" si="12"/>
        <v>%humedad</v>
      </c>
      <c r="J190" t="str">
        <f t="shared" si="15"/>
        <v>✅ OK</v>
      </c>
      <c r="K190" t="str">
        <f t="shared" si="16"/>
        <v>🟡 PRECAUCIÓN</v>
      </c>
      <c r="L190" t="str">
        <f t="shared" si="17"/>
        <v>Almacenista</v>
      </c>
    </row>
    <row r="191" spans="1:12" x14ac:dyDescent="0.3">
      <c r="A191" t="str">
        <f t="shared" si="13"/>
        <v>KPI-190</v>
      </c>
      <c r="B191" s="2">
        <f>INDEX(Lotes!$B$2:$B$53,INT((ROW()-2)/6)+1)</f>
        <v>46312</v>
      </c>
      <c r="C191">
        <f>INDEX(Lotes!$C$2:$C$53,INT((ROW()-2)/6)+1)</f>
        <v>42</v>
      </c>
      <c r="D191" t="str">
        <f>INDEX(Lotes!$A$2:$A$53,INT((ROW()-2)/6)+1)</f>
        <v>RETEX-2024-032</v>
      </c>
      <c r="E191" t="str">
        <f>INDEX(Lotes!$D$2:$D$53,INT((ROW()-2)/6)+1)</f>
        <v>octubre</v>
      </c>
      <c r="F191" t="s">
        <v>109</v>
      </c>
      <c r="G191" s="10">
        <v>0.56999999999999995</v>
      </c>
      <c r="H191">
        <f t="shared" si="14"/>
        <v>1</v>
      </c>
      <c r="I191" t="str">
        <f t="shared" si="12"/>
        <v>%retorno</v>
      </c>
      <c r="J191" t="str">
        <f t="shared" si="15"/>
        <v>✅ OK</v>
      </c>
      <c r="K191" t="str">
        <f t="shared" si="16"/>
        <v>🟢 OK</v>
      </c>
      <c r="L191" t="str">
        <f t="shared" si="17"/>
        <v>Gerente de Calidad</v>
      </c>
    </row>
    <row r="192" spans="1:12" x14ac:dyDescent="0.3">
      <c r="A192" t="str">
        <f t="shared" si="13"/>
        <v>KPI-191</v>
      </c>
      <c r="B192" s="2">
        <f>INDEX(Lotes!$B$2:$B$53,INT((ROW()-2)/6)+1)</f>
        <v>46312</v>
      </c>
      <c r="C192">
        <f>INDEX(Lotes!$C$2:$C$53,INT((ROW()-2)/6)+1)</f>
        <v>42</v>
      </c>
      <c r="D192" t="str">
        <f>INDEX(Lotes!$A$2:$A$53,INT((ROW()-2)/6)+1)</f>
        <v>RETEX-2024-032</v>
      </c>
      <c r="E192" t="str">
        <f>INDEX(Lotes!$D$2:$D$53,INT((ROW()-2)/6)+1)</f>
        <v>octubre</v>
      </c>
      <c r="F192" t="s">
        <v>110</v>
      </c>
      <c r="G192" s="10">
        <v>1.94</v>
      </c>
      <c r="H192">
        <f t="shared" si="14"/>
        <v>3</v>
      </c>
      <c r="I192" t="str">
        <f t="shared" si="12"/>
        <v>%error</v>
      </c>
      <c r="J192" t="str">
        <f t="shared" si="15"/>
        <v>✅ OK</v>
      </c>
      <c r="K192" t="str">
        <f t="shared" si="16"/>
        <v>🟢 OK</v>
      </c>
      <c r="L192" t="str">
        <f t="shared" si="17"/>
        <v>Supervisor</v>
      </c>
    </row>
    <row r="193" spans="1:12" x14ac:dyDescent="0.3">
      <c r="A193" t="str">
        <f t="shared" si="13"/>
        <v>KPI-192</v>
      </c>
      <c r="B193" s="2">
        <f>INDEX(Lotes!$B$2:$B$53,INT((ROW()-2)/6)+1)</f>
        <v>46312</v>
      </c>
      <c r="C193">
        <f>INDEX(Lotes!$C$2:$C$53,INT((ROW()-2)/6)+1)</f>
        <v>42</v>
      </c>
      <c r="D193" t="str">
        <f>INDEX(Lotes!$A$2:$A$53,INT((ROW()-2)/6)+1)</f>
        <v>RETEX-2024-032</v>
      </c>
      <c r="E193" t="str">
        <f>INDEX(Lotes!$D$2:$D$53,INT((ROW()-2)/6)+1)</f>
        <v>octubre</v>
      </c>
      <c r="F193" t="s">
        <v>111</v>
      </c>
      <c r="G193" s="10">
        <v>0.9</v>
      </c>
      <c r="H193">
        <f t="shared" si="14"/>
        <v>1</v>
      </c>
      <c r="I193" t="str">
        <f t="shared" si="12"/>
        <v>índice</v>
      </c>
      <c r="J193" t="str">
        <f t="shared" si="15"/>
        <v>❌ ALERTA</v>
      </c>
      <c r="K193" t="str">
        <f t="shared" si="16"/>
        <v>🔴 ALERTA</v>
      </c>
      <c r="L193" t="str">
        <f t="shared" si="17"/>
        <v>Ingeniero de Calidad</v>
      </c>
    </row>
    <row r="194" spans="1:12" x14ac:dyDescent="0.3">
      <c r="A194" t="str">
        <f t="shared" si="13"/>
        <v>KPI-193</v>
      </c>
      <c r="B194" s="2">
        <f>INDEX(Lotes!$B$2:$B$53,INT((ROW()-2)/6)+1)</f>
        <v>46319</v>
      </c>
      <c r="C194">
        <f>INDEX(Lotes!$C$2:$C$53,INT((ROW()-2)/6)+1)</f>
        <v>43</v>
      </c>
      <c r="D194" t="str">
        <f>INDEX(Lotes!$A$2:$A$53,INT((ROW()-2)/6)+1)</f>
        <v>RETEX-2024-033</v>
      </c>
      <c r="E194" t="str">
        <f>INDEX(Lotes!$D$2:$D$53,INT((ROW()-2)/6)+1)</f>
        <v>octubre</v>
      </c>
      <c r="F194" t="s">
        <v>106</v>
      </c>
      <c r="G194" s="10">
        <v>97.56</v>
      </c>
      <c r="H194">
        <f t="shared" si="14"/>
        <v>96</v>
      </c>
      <c r="I194" t="str">
        <f t="shared" ref="I194:I257" si="18">IF(F194="IPL","%pureza",IF(F194="RS","%rendimiento",IF(F194="VH","%humedad",IF(F194="TR","%retorno",IF(F194="TEC","%error","índice")))))</f>
        <v>%pureza</v>
      </c>
      <c r="J194" t="str">
        <f t="shared" si="15"/>
        <v>✅ OK</v>
      </c>
      <c r="K194" t="str">
        <f t="shared" si="16"/>
        <v>🟡 PRECAUCIÓN</v>
      </c>
      <c r="L194" t="str">
        <f t="shared" si="17"/>
        <v>Inspector de Calidad</v>
      </c>
    </row>
    <row r="195" spans="1:12" x14ac:dyDescent="0.3">
      <c r="A195" t="str">
        <f t="shared" ref="A195:A258" si="19">"KPI-"&amp;TEXT(ROW()-1,"000")</f>
        <v>KPI-194</v>
      </c>
      <c r="B195" s="2">
        <f>INDEX(Lotes!$B$2:$B$53,INT((ROW()-2)/6)+1)</f>
        <v>46319</v>
      </c>
      <c r="C195">
        <f>INDEX(Lotes!$C$2:$C$53,INT((ROW()-2)/6)+1)</f>
        <v>43</v>
      </c>
      <c r="D195" t="str">
        <f>INDEX(Lotes!$A$2:$A$53,INT((ROW()-2)/6)+1)</f>
        <v>RETEX-2024-033</v>
      </c>
      <c r="E195" t="str">
        <f>INDEX(Lotes!$D$2:$D$53,INT((ROW()-2)/6)+1)</f>
        <v>octubre</v>
      </c>
      <c r="F195" t="s">
        <v>107</v>
      </c>
      <c r="G195" s="10">
        <v>73.760000000000005</v>
      </c>
      <c r="H195">
        <f t="shared" ref="H195:H258" si="20">IF(F195="IPL",96,IF(F195="RS",70,IF(F195="VH",8,IF(F195="TR",1,IF(F195="TEC",3,1)))))</f>
        <v>70</v>
      </c>
      <c r="I195" t="str">
        <f t="shared" si="18"/>
        <v>%rendimiento</v>
      </c>
      <c r="J195" t="str">
        <f t="shared" ref="J195:J258" si="21">IF(OR(F195="IPL",F195="RS",F195="Cpk_Mensual"),IF(G195&lt;H195,"❌ ALERTA","✅ OK"),IF(G195&gt;H195,"❌ ALERTA","✅ OK"))</f>
        <v>✅ OK</v>
      </c>
      <c r="K195" t="str">
        <f t="shared" ref="K195:K258" si="22">IF(OR(F195="IPL",F195="RS",F195="Cpk_Mensual"),IF(G195&lt;H195,"🔴 ALERTA",IF(G195&lt;H195*1.05,"🟡 PRECAUCIÓN","🟢 OK")),IF(G195&gt;H195,"🔴 ALERTA",IF(G195&gt;H195*0.85,"🟡 PRECAUCIÓN","🟢 OK")))</f>
        <v>🟢 OK</v>
      </c>
      <c r="L195" t="str">
        <f t="shared" ref="L195:L258" si="23">IF(F195="IPL","Inspector de Calidad",IF(F195="RS","Coordinador de Planta",IF(F195="VH","Almacenista",IF(F195="TR","Gerente de Calidad",IF(F195="TEC","Supervisor","Ingeniero de Calidad")))))</f>
        <v>Coordinador de Planta</v>
      </c>
    </row>
    <row r="196" spans="1:12" x14ac:dyDescent="0.3">
      <c r="A196" t="str">
        <f t="shared" si="19"/>
        <v>KPI-195</v>
      </c>
      <c r="B196" s="2">
        <f>INDEX(Lotes!$B$2:$B$53,INT((ROW()-2)/6)+1)</f>
        <v>46319</v>
      </c>
      <c r="C196">
        <f>INDEX(Lotes!$C$2:$C$53,INT((ROW()-2)/6)+1)</f>
        <v>43</v>
      </c>
      <c r="D196" t="str">
        <f>INDEX(Lotes!$A$2:$A$53,INT((ROW()-2)/6)+1)</f>
        <v>RETEX-2024-033</v>
      </c>
      <c r="E196" t="str">
        <f>INDEX(Lotes!$D$2:$D$53,INT((ROW()-2)/6)+1)</f>
        <v>octubre</v>
      </c>
      <c r="F196" t="s">
        <v>108</v>
      </c>
      <c r="G196" s="10">
        <v>5.66</v>
      </c>
      <c r="H196">
        <f t="shared" si="20"/>
        <v>8</v>
      </c>
      <c r="I196" t="str">
        <f t="shared" si="18"/>
        <v>%humedad</v>
      </c>
      <c r="J196" t="str">
        <f t="shared" si="21"/>
        <v>✅ OK</v>
      </c>
      <c r="K196" t="str">
        <f t="shared" si="22"/>
        <v>🟢 OK</v>
      </c>
      <c r="L196" t="str">
        <f t="shared" si="23"/>
        <v>Almacenista</v>
      </c>
    </row>
    <row r="197" spans="1:12" x14ac:dyDescent="0.3">
      <c r="A197" t="str">
        <f t="shared" si="19"/>
        <v>KPI-196</v>
      </c>
      <c r="B197" s="2">
        <f>INDEX(Lotes!$B$2:$B$53,INT((ROW()-2)/6)+1)</f>
        <v>46319</v>
      </c>
      <c r="C197">
        <f>INDEX(Lotes!$C$2:$C$53,INT((ROW()-2)/6)+1)</f>
        <v>43</v>
      </c>
      <c r="D197" t="str">
        <f>INDEX(Lotes!$A$2:$A$53,INT((ROW()-2)/6)+1)</f>
        <v>RETEX-2024-033</v>
      </c>
      <c r="E197" t="str">
        <f>INDEX(Lotes!$D$2:$D$53,INT((ROW()-2)/6)+1)</f>
        <v>octubre</v>
      </c>
      <c r="F197" t="s">
        <v>109</v>
      </c>
      <c r="G197" s="10">
        <v>1.2</v>
      </c>
      <c r="H197">
        <f t="shared" si="20"/>
        <v>1</v>
      </c>
      <c r="I197" t="str">
        <f t="shared" si="18"/>
        <v>%retorno</v>
      </c>
      <c r="J197" t="str">
        <f t="shared" si="21"/>
        <v>❌ ALERTA</v>
      </c>
      <c r="K197" t="str">
        <f t="shared" si="22"/>
        <v>🔴 ALERTA</v>
      </c>
      <c r="L197" t="str">
        <f t="shared" si="23"/>
        <v>Gerente de Calidad</v>
      </c>
    </row>
    <row r="198" spans="1:12" x14ac:dyDescent="0.3">
      <c r="A198" t="str">
        <f t="shared" si="19"/>
        <v>KPI-197</v>
      </c>
      <c r="B198" s="2">
        <f>INDEX(Lotes!$B$2:$B$53,INT((ROW()-2)/6)+1)</f>
        <v>46319</v>
      </c>
      <c r="C198">
        <f>INDEX(Lotes!$C$2:$C$53,INT((ROW()-2)/6)+1)</f>
        <v>43</v>
      </c>
      <c r="D198" t="str">
        <f>INDEX(Lotes!$A$2:$A$53,INT((ROW()-2)/6)+1)</f>
        <v>RETEX-2024-033</v>
      </c>
      <c r="E198" t="str">
        <f>INDEX(Lotes!$D$2:$D$53,INT((ROW()-2)/6)+1)</f>
        <v>octubre</v>
      </c>
      <c r="F198" t="s">
        <v>110</v>
      </c>
      <c r="G198" s="10">
        <v>1.31</v>
      </c>
      <c r="H198">
        <f t="shared" si="20"/>
        <v>3</v>
      </c>
      <c r="I198" t="str">
        <f t="shared" si="18"/>
        <v>%error</v>
      </c>
      <c r="J198" t="str">
        <f t="shared" si="21"/>
        <v>✅ OK</v>
      </c>
      <c r="K198" t="str">
        <f t="shared" si="22"/>
        <v>🟢 OK</v>
      </c>
      <c r="L198" t="str">
        <f t="shared" si="23"/>
        <v>Supervisor</v>
      </c>
    </row>
    <row r="199" spans="1:12" x14ac:dyDescent="0.3">
      <c r="A199" t="str">
        <f t="shared" si="19"/>
        <v>KPI-198</v>
      </c>
      <c r="B199" s="2">
        <f>INDEX(Lotes!$B$2:$B$53,INT((ROW()-2)/6)+1)</f>
        <v>46319</v>
      </c>
      <c r="C199">
        <f>INDEX(Lotes!$C$2:$C$53,INT((ROW()-2)/6)+1)</f>
        <v>43</v>
      </c>
      <c r="D199" t="str">
        <f>INDEX(Lotes!$A$2:$A$53,INT((ROW()-2)/6)+1)</f>
        <v>RETEX-2024-033</v>
      </c>
      <c r="E199" t="str">
        <f>INDEX(Lotes!$D$2:$D$53,INT((ROW()-2)/6)+1)</f>
        <v>octubre</v>
      </c>
      <c r="F199" t="s">
        <v>111</v>
      </c>
      <c r="G199" s="10">
        <v>1.1200000000000001</v>
      </c>
      <c r="H199">
        <f t="shared" si="20"/>
        <v>1</v>
      </c>
      <c r="I199" t="str">
        <f t="shared" si="18"/>
        <v>índice</v>
      </c>
      <c r="J199" t="str">
        <f t="shared" si="21"/>
        <v>✅ OK</v>
      </c>
      <c r="K199" t="str">
        <f t="shared" si="22"/>
        <v>🟢 OK</v>
      </c>
      <c r="L199" t="str">
        <f t="shared" si="23"/>
        <v>Ingeniero de Calidad</v>
      </c>
    </row>
    <row r="200" spans="1:12" x14ac:dyDescent="0.3">
      <c r="A200" t="str">
        <f t="shared" si="19"/>
        <v>KPI-199</v>
      </c>
      <c r="B200" s="2">
        <f>INDEX(Lotes!$B$2:$B$53,INT((ROW()-2)/6)+1)</f>
        <v>46326</v>
      </c>
      <c r="C200">
        <f>INDEX(Lotes!$C$2:$C$53,INT((ROW()-2)/6)+1)</f>
        <v>44</v>
      </c>
      <c r="D200" t="str">
        <f>INDEX(Lotes!$A$2:$A$53,INT((ROW()-2)/6)+1)</f>
        <v>RETEX-2024-034</v>
      </c>
      <c r="E200" t="str">
        <f>INDEX(Lotes!$D$2:$D$53,INT((ROW()-2)/6)+1)</f>
        <v>octubre</v>
      </c>
      <c r="F200" t="s">
        <v>106</v>
      </c>
      <c r="G200" s="10">
        <v>97.84</v>
      </c>
      <c r="H200">
        <f t="shared" si="20"/>
        <v>96</v>
      </c>
      <c r="I200" t="str">
        <f t="shared" si="18"/>
        <v>%pureza</v>
      </c>
      <c r="J200" t="str">
        <f t="shared" si="21"/>
        <v>✅ OK</v>
      </c>
      <c r="K200" t="str">
        <f t="shared" si="22"/>
        <v>🟡 PRECAUCIÓN</v>
      </c>
      <c r="L200" t="str">
        <f t="shared" si="23"/>
        <v>Inspector de Calidad</v>
      </c>
    </row>
    <row r="201" spans="1:12" x14ac:dyDescent="0.3">
      <c r="A201" t="str">
        <f t="shared" si="19"/>
        <v>KPI-200</v>
      </c>
      <c r="B201" s="2">
        <f>INDEX(Lotes!$B$2:$B$53,INT((ROW()-2)/6)+1)</f>
        <v>46326</v>
      </c>
      <c r="C201">
        <f>INDEX(Lotes!$C$2:$C$53,INT((ROW()-2)/6)+1)</f>
        <v>44</v>
      </c>
      <c r="D201" t="str">
        <f>INDEX(Lotes!$A$2:$A$53,INT((ROW()-2)/6)+1)</f>
        <v>RETEX-2024-034</v>
      </c>
      <c r="E201" t="str">
        <f>INDEX(Lotes!$D$2:$D$53,INT((ROW()-2)/6)+1)</f>
        <v>octubre</v>
      </c>
      <c r="F201" t="s">
        <v>107</v>
      </c>
      <c r="G201" s="10">
        <v>76.67</v>
      </c>
      <c r="H201">
        <f t="shared" si="20"/>
        <v>70</v>
      </c>
      <c r="I201" t="str">
        <f t="shared" si="18"/>
        <v>%rendimiento</v>
      </c>
      <c r="J201" t="str">
        <f t="shared" si="21"/>
        <v>✅ OK</v>
      </c>
      <c r="K201" t="str">
        <f t="shared" si="22"/>
        <v>🟢 OK</v>
      </c>
      <c r="L201" t="str">
        <f t="shared" si="23"/>
        <v>Coordinador de Planta</v>
      </c>
    </row>
    <row r="202" spans="1:12" x14ac:dyDescent="0.3">
      <c r="A202" t="str">
        <f t="shared" si="19"/>
        <v>KPI-201</v>
      </c>
      <c r="B202" s="2">
        <f>INDEX(Lotes!$B$2:$B$53,INT((ROW()-2)/6)+1)</f>
        <v>46326</v>
      </c>
      <c r="C202">
        <f>INDEX(Lotes!$C$2:$C$53,INT((ROW()-2)/6)+1)</f>
        <v>44</v>
      </c>
      <c r="D202" t="str">
        <f>INDEX(Lotes!$A$2:$A$53,INT((ROW()-2)/6)+1)</f>
        <v>RETEX-2024-034</v>
      </c>
      <c r="E202" t="str">
        <f>INDEX(Lotes!$D$2:$D$53,INT((ROW()-2)/6)+1)</f>
        <v>octubre</v>
      </c>
      <c r="F202" t="s">
        <v>108</v>
      </c>
      <c r="G202" s="10">
        <v>7.76</v>
      </c>
      <c r="H202">
        <f t="shared" si="20"/>
        <v>8</v>
      </c>
      <c r="I202" t="str">
        <f t="shared" si="18"/>
        <v>%humedad</v>
      </c>
      <c r="J202" t="str">
        <f t="shared" si="21"/>
        <v>✅ OK</v>
      </c>
      <c r="K202" t="str">
        <f t="shared" si="22"/>
        <v>🟡 PRECAUCIÓN</v>
      </c>
      <c r="L202" t="str">
        <f t="shared" si="23"/>
        <v>Almacenista</v>
      </c>
    </row>
    <row r="203" spans="1:12" x14ac:dyDescent="0.3">
      <c r="A203" t="str">
        <f t="shared" si="19"/>
        <v>KPI-202</v>
      </c>
      <c r="B203" s="2">
        <f>INDEX(Lotes!$B$2:$B$53,INT((ROW()-2)/6)+1)</f>
        <v>46326</v>
      </c>
      <c r="C203">
        <f>INDEX(Lotes!$C$2:$C$53,INT((ROW()-2)/6)+1)</f>
        <v>44</v>
      </c>
      <c r="D203" t="str">
        <f>INDEX(Lotes!$A$2:$A$53,INT((ROW()-2)/6)+1)</f>
        <v>RETEX-2024-034</v>
      </c>
      <c r="E203" t="str">
        <f>INDEX(Lotes!$D$2:$D$53,INT((ROW()-2)/6)+1)</f>
        <v>octubre</v>
      </c>
      <c r="F203" t="s">
        <v>109</v>
      </c>
      <c r="G203" s="10">
        <v>0.78</v>
      </c>
      <c r="H203">
        <f t="shared" si="20"/>
        <v>1</v>
      </c>
      <c r="I203" t="str">
        <f t="shared" si="18"/>
        <v>%retorno</v>
      </c>
      <c r="J203" t="str">
        <f t="shared" si="21"/>
        <v>✅ OK</v>
      </c>
      <c r="K203" t="str">
        <f t="shared" si="22"/>
        <v>🟢 OK</v>
      </c>
      <c r="L203" t="str">
        <f t="shared" si="23"/>
        <v>Gerente de Calidad</v>
      </c>
    </row>
    <row r="204" spans="1:12" x14ac:dyDescent="0.3">
      <c r="A204" t="str">
        <f t="shared" si="19"/>
        <v>KPI-203</v>
      </c>
      <c r="B204" s="2">
        <f>INDEX(Lotes!$B$2:$B$53,INT((ROW()-2)/6)+1)</f>
        <v>46326</v>
      </c>
      <c r="C204">
        <f>INDEX(Lotes!$C$2:$C$53,INT((ROW()-2)/6)+1)</f>
        <v>44</v>
      </c>
      <c r="D204" t="str">
        <f>INDEX(Lotes!$A$2:$A$53,INT((ROW()-2)/6)+1)</f>
        <v>RETEX-2024-034</v>
      </c>
      <c r="E204" t="str">
        <f>INDEX(Lotes!$D$2:$D$53,INT((ROW()-2)/6)+1)</f>
        <v>octubre</v>
      </c>
      <c r="F204" t="s">
        <v>110</v>
      </c>
      <c r="G204" s="10">
        <v>1.96</v>
      </c>
      <c r="H204">
        <f t="shared" si="20"/>
        <v>3</v>
      </c>
      <c r="I204" t="str">
        <f t="shared" si="18"/>
        <v>%error</v>
      </c>
      <c r="J204" t="str">
        <f t="shared" si="21"/>
        <v>✅ OK</v>
      </c>
      <c r="K204" t="str">
        <f t="shared" si="22"/>
        <v>🟢 OK</v>
      </c>
      <c r="L204" t="str">
        <f t="shared" si="23"/>
        <v>Supervisor</v>
      </c>
    </row>
    <row r="205" spans="1:12" x14ac:dyDescent="0.3">
      <c r="A205" t="str">
        <f t="shared" si="19"/>
        <v>KPI-204</v>
      </c>
      <c r="B205" s="2">
        <f>INDEX(Lotes!$B$2:$B$53,INT((ROW()-2)/6)+1)</f>
        <v>46326</v>
      </c>
      <c r="C205">
        <f>INDEX(Lotes!$C$2:$C$53,INT((ROW()-2)/6)+1)</f>
        <v>44</v>
      </c>
      <c r="D205" t="str">
        <f>INDEX(Lotes!$A$2:$A$53,INT((ROW()-2)/6)+1)</f>
        <v>RETEX-2024-034</v>
      </c>
      <c r="E205" t="str">
        <f>INDEX(Lotes!$D$2:$D$53,INT((ROW()-2)/6)+1)</f>
        <v>octubre</v>
      </c>
      <c r="F205" t="s">
        <v>111</v>
      </c>
      <c r="G205" s="10">
        <v>0.7</v>
      </c>
      <c r="H205">
        <f t="shared" si="20"/>
        <v>1</v>
      </c>
      <c r="I205" t="str">
        <f t="shared" si="18"/>
        <v>índice</v>
      </c>
      <c r="J205" t="str">
        <f t="shared" si="21"/>
        <v>❌ ALERTA</v>
      </c>
      <c r="K205" t="str">
        <f t="shared" si="22"/>
        <v>🔴 ALERTA</v>
      </c>
      <c r="L205" t="str">
        <f t="shared" si="23"/>
        <v>Ingeniero de Calidad</v>
      </c>
    </row>
    <row r="206" spans="1:12" x14ac:dyDescent="0.3">
      <c r="A206" t="str">
        <f t="shared" si="19"/>
        <v>KPI-205</v>
      </c>
      <c r="B206" s="2">
        <f>INDEX(Lotes!$B$2:$B$53,INT((ROW()-2)/6)+1)</f>
        <v>46333</v>
      </c>
      <c r="C206">
        <f>INDEX(Lotes!$C$2:$C$53,INT((ROW()-2)/6)+1)</f>
        <v>45</v>
      </c>
      <c r="D206" t="str">
        <f>INDEX(Lotes!$A$2:$A$53,INT((ROW()-2)/6)+1)</f>
        <v>RETEX-2024-035</v>
      </c>
      <c r="E206" t="str">
        <f>INDEX(Lotes!$D$2:$D$53,INT((ROW()-2)/6)+1)</f>
        <v>noviembre</v>
      </c>
      <c r="F206" t="s">
        <v>106</v>
      </c>
      <c r="G206" s="10">
        <v>97.55</v>
      </c>
      <c r="H206">
        <f t="shared" si="20"/>
        <v>96</v>
      </c>
      <c r="I206" t="str">
        <f t="shared" si="18"/>
        <v>%pureza</v>
      </c>
      <c r="J206" t="str">
        <f t="shared" si="21"/>
        <v>✅ OK</v>
      </c>
      <c r="K206" t="str">
        <f t="shared" si="22"/>
        <v>🟡 PRECAUCIÓN</v>
      </c>
      <c r="L206" t="str">
        <f t="shared" si="23"/>
        <v>Inspector de Calidad</v>
      </c>
    </row>
    <row r="207" spans="1:12" x14ac:dyDescent="0.3">
      <c r="A207" t="str">
        <f t="shared" si="19"/>
        <v>KPI-206</v>
      </c>
      <c r="B207" s="2">
        <f>INDEX(Lotes!$B$2:$B$53,INT((ROW()-2)/6)+1)</f>
        <v>46333</v>
      </c>
      <c r="C207">
        <f>INDEX(Lotes!$C$2:$C$53,INT((ROW()-2)/6)+1)</f>
        <v>45</v>
      </c>
      <c r="D207" t="str">
        <f>INDEX(Lotes!$A$2:$A$53,INT((ROW()-2)/6)+1)</f>
        <v>RETEX-2024-035</v>
      </c>
      <c r="E207" t="str">
        <f>INDEX(Lotes!$D$2:$D$53,INT((ROW()-2)/6)+1)</f>
        <v>noviembre</v>
      </c>
      <c r="F207" t="s">
        <v>107</v>
      </c>
      <c r="G207" s="10">
        <v>78.67</v>
      </c>
      <c r="H207">
        <f t="shared" si="20"/>
        <v>70</v>
      </c>
      <c r="I207" t="str">
        <f t="shared" si="18"/>
        <v>%rendimiento</v>
      </c>
      <c r="J207" t="str">
        <f t="shared" si="21"/>
        <v>✅ OK</v>
      </c>
      <c r="K207" t="str">
        <f t="shared" si="22"/>
        <v>🟢 OK</v>
      </c>
      <c r="L207" t="str">
        <f t="shared" si="23"/>
        <v>Coordinador de Planta</v>
      </c>
    </row>
    <row r="208" spans="1:12" x14ac:dyDescent="0.3">
      <c r="A208" t="str">
        <f t="shared" si="19"/>
        <v>KPI-207</v>
      </c>
      <c r="B208" s="2">
        <f>INDEX(Lotes!$B$2:$B$53,INT((ROW()-2)/6)+1)</f>
        <v>46333</v>
      </c>
      <c r="C208">
        <f>INDEX(Lotes!$C$2:$C$53,INT((ROW()-2)/6)+1)</f>
        <v>45</v>
      </c>
      <c r="D208" t="str">
        <f>INDEX(Lotes!$A$2:$A$53,INT((ROW()-2)/6)+1)</f>
        <v>RETEX-2024-035</v>
      </c>
      <c r="E208" t="str">
        <f>INDEX(Lotes!$D$2:$D$53,INT((ROW()-2)/6)+1)</f>
        <v>noviembre</v>
      </c>
      <c r="F208" t="s">
        <v>108</v>
      </c>
      <c r="G208" s="10">
        <v>6.34</v>
      </c>
      <c r="H208">
        <f t="shared" si="20"/>
        <v>8</v>
      </c>
      <c r="I208" t="str">
        <f t="shared" si="18"/>
        <v>%humedad</v>
      </c>
      <c r="J208" t="str">
        <f t="shared" si="21"/>
        <v>✅ OK</v>
      </c>
      <c r="K208" t="str">
        <f t="shared" si="22"/>
        <v>🟢 OK</v>
      </c>
      <c r="L208" t="str">
        <f t="shared" si="23"/>
        <v>Almacenista</v>
      </c>
    </row>
    <row r="209" spans="1:12" x14ac:dyDescent="0.3">
      <c r="A209" t="str">
        <f t="shared" si="19"/>
        <v>KPI-208</v>
      </c>
      <c r="B209" s="2">
        <f>INDEX(Lotes!$B$2:$B$53,INT((ROW()-2)/6)+1)</f>
        <v>46333</v>
      </c>
      <c r="C209">
        <f>INDEX(Lotes!$C$2:$C$53,INT((ROW()-2)/6)+1)</f>
        <v>45</v>
      </c>
      <c r="D209" t="str">
        <f>INDEX(Lotes!$A$2:$A$53,INT((ROW()-2)/6)+1)</f>
        <v>RETEX-2024-035</v>
      </c>
      <c r="E209" t="str">
        <f>INDEX(Lotes!$D$2:$D$53,INT((ROW()-2)/6)+1)</f>
        <v>noviembre</v>
      </c>
      <c r="F209" t="s">
        <v>109</v>
      </c>
      <c r="G209" s="10">
        <v>0.79</v>
      </c>
      <c r="H209">
        <f t="shared" si="20"/>
        <v>1</v>
      </c>
      <c r="I209" t="str">
        <f t="shared" si="18"/>
        <v>%retorno</v>
      </c>
      <c r="J209" t="str">
        <f t="shared" si="21"/>
        <v>✅ OK</v>
      </c>
      <c r="K209" t="str">
        <f t="shared" si="22"/>
        <v>🟢 OK</v>
      </c>
      <c r="L209" t="str">
        <f t="shared" si="23"/>
        <v>Gerente de Calidad</v>
      </c>
    </row>
    <row r="210" spans="1:12" x14ac:dyDescent="0.3">
      <c r="A210" t="str">
        <f t="shared" si="19"/>
        <v>KPI-209</v>
      </c>
      <c r="B210" s="2">
        <f>INDEX(Lotes!$B$2:$B$53,INT((ROW()-2)/6)+1)</f>
        <v>46333</v>
      </c>
      <c r="C210">
        <f>INDEX(Lotes!$C$2:$C$53,INT((ROW()-2)/6)+1)</f>
        <v>45</v>
      </c>
      <c r="D210" t="str">
        <f>INDEX(Lotes!$A$2:$A$53,INT((ROW()-2)/6)+1)</f>
        <v>RETEX-2024-035</v>
      </c>
      <c r="E210" t="str">
        <f>INDEX(Lotes!$D$2:$D$53,INT((ROW()-2)/6)+1)</f>
        <v>noviembre</v>
      </c>
      <c r="F210" t="s">
        <v>110</v>
      </c>
      <c r="G210" s="10">
        <v>1.26</v>
      </c>
      <c r="H210">
        <f t="shared" si="20"/>
        <v>3</v>
      </c>
      <c r="I210" t="str">
        <f t="shared" si="18"/>
        <v>%error</v>
      </c>
      <c r="J210" t="str">
        <f t="shared" si="21"/>
        <v>✅ OK</v>
      </c>
      <c r="K210" t="str">
        <f t="shared" si="22"/>
        <v>🟢 OK</v>
      </c>
      <c r="L210" t="str">
        <f t="shared" si="23"/>
        <v>Supervisor</v>
      </c>
    </row>
    <row r="211" spans="1:12" x14ac:dyDescent="0.3">
      <c r="A211" t="str">
        <f t="shared" si="19"/>
        <v>KPI-210</v>
      </c>
      <c r="B211" s="2">
        <f>INDEX(Lotes!$B$2:$B$53,INT((ROW()-2)/6)+1)</f>
        <v>46333</v>
      </c>
      <c r="C211">
        <f>INDEX(Lotes!$C$2:$C$53,INT((ROW()-2)/6)+1)</f>
        <v>45</v>
      </c>
      <c r="D211" t="str">
        <f>INDEX(Lotes!$A$2:$A$53,INT((ROW()-2)/6)+1)</f>
        <v>RETEX-2024-035</v>
      </c>
      <c r="E211" t="str">
        <f>INDEX(Lotes!$D$2:$D$53,INT((ROW()-2)/6)+1)</f>
        <v>noviembre</v>
      </c>
      <c r="F211" t="s">
        <v>111</v>
      </c>
      <c r="G211" s="10">
        <v>0.79</v>
      </c>
      <c r="H211">
        <f t="shared" si="20"/>
        <v>1</v>
      </c>
      <c r="I211" t="str">
        <f t="shared" si="18"/>
        <v>índice</v>
      </c>
      <c r="J211" t="str">
        <f t="shared" si="21"/>
        <v>❌ ALERTA</v>
      </c>
      <c r="K211" t="str">
        <f t="shared" si="22"/>
        <v>🔴 ALERTA</v>
      </c>
      <c r="L211" t="str">
        <f t="shared" si="23"/>
        <v>Ingeniero de Calidad</v>
      </c>
    </row>
    <row r="212" spans="1:12" x14ac:dyDescent="0.3">
      <c r="A212" t="str">
        <f t="shared" si="19"/>
        <v>KPI-211</v>
      </c>
      <c r="B212" s="2">
        <f>INDEX(Lotes!$B$2:$B$53,INT((ROW()-2)/6)+1)</f>
        <v>46340</v>
      </c>
      <c r="C212">
        <f>INDEX(Lotes!$C$2:$C$53,INT((ROW()-2)/6)+1)</f>
        <v>46</v>
      </c>
      <c r="D212" t="str">
        <f>INDEX(Lotes!$A$2:$A$53,INT((ROW()-2)/6)+1)</f>
        <v>RETEX-2024-036</v>
      </c>
      <c r="E212" t="str">
        <f>INDEX(Lotes!$D$2:$D$53,INT((ROW()-2)/6)+1)</f>
        <v>noviembre</v>
      </c>
      <c r="F212" t="s">
        <v>106</v>
      </c>
      <c r="G212" s="10">
        <v>96.57</v>
      </c>
      <c r="H212">
        <f t="shared" si="20"/>
        <v>96</v>
      </c>
      <c r="I212" t="str">
        <f t="shared" si="18"/>
        <v>%pureza</v>
      </c>
      <c r="J212" t="str">
        <f t="shared" si="21"/>
        <v>✅ OK</v>
      </c>
      <c r="K212" t="str">
        <f t="shared" si="22"/>
        <v>🟡 PRECAUCIÓN</v>
      </c>
      <c r="L212" t="str">
        <f t="shared" si="23"/>
        <v>Inspector de Calidad</v>
      </c>
    </row>
    <row r="213" spans="1:12" x14ac:dyDescent="0.3">
      <c r="A213" t="str">
        <f t="shared" si="19"/>
        <v>KPI-212</v>
      </c>
      <c r="B213" s="2">
        <f>INDEX(Lotes!$B$2:$B$53,INT((ROW()-2)/6)+1)</f>
        <v>46340</v>
      </c>
      <c r="C213">
        <f>INDEX(Lotes!$C$2:$C$53,INT((ROW()-2)/6)+1)</f>
        <v>46</v>
      </c>
      <c r="D213" t="str">
        <f>INDEX(Lotes!$A$2:$A$53,INT((ROW()-2)/6)+1)</f>
        <v>RETEX-2024-036</v>
      </c>
      <c r="E213" t="str">
        <f>INDEX(Lotes!$D$2:$D$53,INT((ROW()-2)/6)+1)</f>
        <v>noviembre</v>
      </c>
      <c r="F213" t="s">
        <v>107</v>
      </c>
      <c r="G213" s="10">
        <v>65.72</v>
      </c>
      <c r="H213">
        <f t="shared" si="20"/>
        <v>70</v>
      </c>
      <c r="I213" t="str">
        <f t="shared" si="18"/>
        <v>%rendimiento</v>
      </c>
      <c r="J213" t="str">
        <f t="shared" si="21"/>
        <v>❌ ALERTA</v>
      </c>
      <c r="K213" t="str">
        <f t="shared" si="22"/>
        <v>🔴 ALERTA</v>
      </c>
      <c r="L213" t="str">
        <f t="shared" si="23"/>
        <v>Coordinador de Planta</v>
      </c>
    </row>
    <row r="214" spans="1:12" x14ac:dyDescent="0.3">
      <c r="A214" t="str">
        <f t="shared" si="19"/>
        <v>KPI-213</v>
      </c>
      <c r="B214" s="2">
        <f>INDEX(Lotes!$B$2:$B$53,INT((ROW()-2)/6)+1)</f>
        <v>46340</v>
      </c>
      <c r="C214">
        <f>INDEX(Lotes!$C$2:$C$53,INT((ROW()-2)/6)+1)</f>
        <v>46</v>
      </c>
      <c r="D214" t="str">
        <f>INDEX(Lotes!$A$2:$A$53,INT((ROW()-2)/6)+1)</f>
        <v>RETEX-2024-036</v>
      </c>
      <c r="E214" t="str">
        <f>INDEX(Lotes!$D$2:$D$53,INT((ROW()-2)/6)+1)</f>
        <v>noviembre</v>
      </c>
      <c r="F214" t="s">
        <v>108</v>
      </c>
      <c r="G214" s="10">
        <v>5.77</v>
      </c>
      <c r="H214">
        <f t="shared" si="20"/>
        <v>8</v>
      </c>
      <c r="I214" t="str">
        <f t="shared" si="18"/>
        <v>%humedad</v>
      </c>
      <c r="J214" t="str">
        <f t="shared" si="21"/>
        <v>✅ OK</v>
      </c>
      <c r="K214" t="str">
        <f t="shared" si="22"/>
        <v>🟢 OK</v>
      </c>
      <c r="L214" t="str">
        <f t="shared" si="23"/>
        <v>Almacenista</v>
      </c>
    </row>
    <row r="215" spans="1:12" x14ac:dyDescent="0.3">
      <c r="A215" t="str">
        <f t="shared" si="19"/>
        <v>KPI-214</v>
      </c>
      <c r="B215" s="2">
        <f>INDEX(Lotes!$B$2:$B$53,INT((ROW()-2)/6)+1)</f>
        <v>46340</v>
      </c>
      <c r="C215">
        <f>INDEX(Lotes!$C$2:$C$53,INT((ROW()-2)/6)+1)</f>
        <v>46</v>
      </c>
      <c r="D215" t="str">
        <f>INDEX(Lotes!$A$2:$A$53,INT((ROW()-2)/6)+1)</f>
        <v>RETEX-2024-036</v>
      </c>
      <c r="E215" t="str">
        <f>INDEX(Lotes!$D$2:$D$53,INT((ROW()-2)/6)+1)</f>
        <v>noviembre</v>
      </c>
      <c r="F215" t="s">
        <v>109</v>
      </c>
      <c r="G215" s="10">
        <v>1.2</v>
      </c>
      <c r="H215">
        <f t="shared" si="20"/>
        <v>1</v>
      </c>
      <c r="I215" t="str">
        <f t="shared" si="18"/>
        <v>%retorno</v>
      </c>
      <c r="J215" t="str">
        <f t="shared" si="21"/>
        <v>❌ ALERTA</v>
      </c>
      <c r="K215" t="str">
        <f t="shared" si="22"/>
        <v>🔴 ALERTA</v>
      </c>
      <c r="L215" t="str">
        <f t="shared" si="23"/>
        <v>Gerente de Calidad</v>
      </c>
    </row>
    <row r="216" spans="1:12" x14ac:dyDescent="0.3">
      <c r="A216" t="str">
        <f t="shared" si="19"/>
        <v>KPI-215</v>
      </c>
      <c r="B216" s="2">
        <f>INDEX(Lotes!$B$2:$B$53,INT((ROW()-2)/6)+1)</f>
        <v>46340</v>
      </c>
      <c r="C216">
        <f>INDEX(Lotes!$C$2:$C$53,INT((ROW()-2)/6)+1)</f>
        <v>46</v>
      </c>
      <c r="D216" t="str">
        <f>INDEX(Lotes!$A$2:$A$53,INT((ROW()-2)/6)+1)</f>
        <v>RETEX-2024-036</v>
      </c>
      <c r="E216" t="str">
        <f>INDEX(Lotes!$D$2:$D$53,INT((ROW()-2)/6)+1)</f>
        <v>noviembre</v>
      </c>
      <c r="F216" t="s">
        <v>110</v>
      </c>
      <c r="G216" s="10">
        <v>3.15</v>
      </c>
      <c r="H216">
        <f t="shared" si="20"/>
        <v>3</v>
      </c>
      <c r="I216" t="str">
        <f t="shared" si="18"/>
        <v>%error</v>
      </c>
      <c r="J216" t="str">
        <f t="shared" si="21"/>
        <v>❌ ALERTA</v>
      </c>
      <c r="K216" t="str">
        <f t="shared" si="22"/>
        <v>🔴 ALERTA</v>
      </c>
      <c r="L216" t="str">
        <f t="shared" si="23"/>
        <v>Supervisor</v>
      </c>
    </row>
    <row r="217" spans="1:12" x14ac:dyDescent="0.3">
      <c r="A217" t="str">
        <f t="shared" si="19"/>
        <v>KPI-216</v>
      </c>
      <c r="B217" s="2">
        <f>INDEX(Lotes!$B$2:$B$53,INT((ROW()-2)/6)+1)</f>
        <v>46340</v>
      </c>
      <c r="C217">
        <f>INDEX(Lotes!$C$2:$C$53,INT((ROW()-2)/6)+1)</f>
        <v>46</v>
      </c>
      <c r="D217" t="str">
        <f>INDEX(Lotes!$A$2:$A$53,INT((ROW()-2)/6)+1)</f>
        <v>RETEX-2024-036</v>
      </c>
      <c r="E217" t="str">
        <f>INDEX(Lotes!$D$2:$D$53,INT((ROW()-2)/6)+1)</f>
        <v>noviembre</v>
      </c>
      <c r="F217" t="s">
        <v>111</v>
      </c>
      <c r="G217" s="10">
        <v>0.86</v>
      </c>
      <c r="H217">
        <f t="shared" si="20"/>
        <v>1</v>
      </c>
      <c r="I217" t="str">
        <f t="shared" si="18"/>
        <v>índice</v>
      </c>
      <c r="J217" t="str">
        <f t="shared" si="21"/>
        <v>❌ ALERTA</v>
      </c>
      <c r="K217" t="str">
        <f t="shared" si="22"/>
        <v>🔴 ALERTA</v>
      </c>
      <c r="L217" t="str">
        <f t="shared" si="23"/>
        <v>Ingeniero de Calidad</v>
      </c>
    </row>
    <row r="218" spans="1:12" x14ac:dyDescent="0.3">
      <c r="A218" t="str">
        <f t="shared" si="19"/>
        <v>KPI-217</v>
      </c>
      <c r="B218" s="2">
        <f>INDEX(Lotes!$B$2:$B$53,INT((ROW()-2)/6)+1)</f>
        <v>46347</v>
      </c>
      <c r="C218">
        <f>INDEX(Lotes!$C$2:$C$53,INT((ROW()-2)/6)+1)</f>
        <v>47</v>
      </c>
      <c r="D218" t="str">
        <f>INDEX(Lotes!$A$2:$A$53,INT((ROW()-2)/6)+1)</f>
        <v>RETEX-2024-037</v>
      </c>
      <c r="E218" t="str">
        <f>INDEX(Lotes!$D$2:$D$53,INT((ROW()-2)/6)+1)</f>
        <v>noviembre</v>
      </c>
      <c r="F218" t="s">
        <v>106</v>
      </c>
      <c r="G218" s="10">
        <v>96.85</v>
      </c>
      <c r="H218">
        <f t="shared" si="20"/>
        <v>96</v>
      </c>
      <c r="I218" t="str">
        <f t="shared" si="18"/>
        <v>%pureza</v>
      </c>
      <c r="J218" t="str">
        <f t="shared" si="21"/>
        <v>✅ OK</v>
      </c>
      <c r="K218" t="str">
        <f t="shared" si="22"/>
        <v>🟡 PRECAUCIÓN</v>
      </c>
      <c r="L218" t="str">
        <f t="shared" si="23"/>
        <v>Inspector de Calidad</v>
      </c>
    </row>
    <row r="219" spans="1:12" x14ac:dyDescent="0.3">
      <c r="A219" t="str">
        <f t="shared" si="19"/>
        <v>KPI-218</v>
      </c>
      <c r="B219" s="2">
        <f>INDEX(Lotes!$B$2:$B$53,INT((ROW()-2)/6)+1)</f>
        <v>46347</v>
      </c>
      <c r="C219">
        <f>INDEX(Lotes!$C$2:$C$53,INT((ROW()-2)/6)+1)</f>
        <v>47</v>
      </c>
      <c r="D219" t="str">
        <f>INDEX(Lotes!$A$2:$A$53,INT((ROW()-2)/6)+1)</f>
        <v>RETEX-2024-037</v>
      </c>
      <c r="E219" t="str">
        <f>INDEX(Lotes!$D$2:$D$53,INT((ROW()-2)/6)+1)</f>
        <v>noviembre</v>
      </c>
      <c r="F219" t="s">
        <v>107</v>
      </c>
      <c r="G219" s="10">
        <v>72.66</v>
      </c>
      <c r="H219">
        <f t="shared" si="20"/>
        <v>70</v>
      </c>
      <c r="I219" t="str">
        <f t="shared" si="18"/>
        <v>%rendimiento</v>
      </c>
      <c r="J219" t="str">
        <f t="shared" si="21"/>
        <v>✅ OK</v>
      </c>
      <c r="K219" t="str">
        <f t="shared" si="22"/>
        <v>🟡 PRECAUCIÓN</v>
      </c>
      <c r="L219" t="str">
        <f t="shared" si="23"/>
        <v>Coordinador de Planta</v>
      </c>
    </row>
    <row r="220" spans="1:12" x14ac:dyDescent="0.3">
      <c r="A220" t="str">
        <f t="shared" si="19"/>
        <v>KPI-219</v>
      </c>
      <c r="B220" s="2">
        <f>INDEX(Lotes!$B$2:$B$53,INT((ROW()-2)/6)+1)</f>
        <v>46347</v>
      </c>
      <c r="C220">
        <f>INDEX(Lotes!$C$2:$C$53,INT((ROW()-2)/6)+1)</f>
        <v>47</v>
      </c>
      <c r="D220" t="str">
        <f>INDEX(Lotes!$A$2:$A$53,INT((ROW()-2)/6)+1)</f>
        <v>RETEX-2024-037</v>
      </c>
      <c r="E220" t="str">
        <f>INDEX(Lotes!$D$2:$D$53,INT((ROW()-2)/6)+1)</f>
        <v>noviembre</v>
      </c>
      <c r="F220" t="s">
        <v>108</v>
      </c>
      <c r="G220" s="10">
        <v>5.48</v>
      </c>
      <c r="H220">
        <f t="shared" si="20"/>
        <v>8</v>
      </c>
      <c r="I220" t="str">
        <f t="shared" si="18"/>
        <v>%humedad</v>
      </c>
      <c r="J220" t="str">
        <f t="shared" si="21"/>
        <v>✅ OK</v>
      </c>
      <c r="K220" t="str">
        <f t="shared" si="22"/>
        <v>🟢 OK</v>
      </c>
      <c r="L220" t="str">
        <f t="shared" si="23"/>
        <v>Almacenista</v>
      </c>
    </row>
    <row r="221" spans="1:12" x14ac:dyDescent="0.3">
      <c r="A221" t="str">
        <f t="shared" si="19"/>
        <v>KPI-220</v>
      </c>
      <c r="B221" s="2">
        <f>INDEX(Lotes!$B$2:$B$53,INT((ROW()-2)/6)+1)</f>
        <v>46347</v>
      </c>
      <c r="C221">
        <f>INDEX(Lotes!$C$2:$C$53,INT((ROW()-2)/6)+1)</f>
        <v>47</v>
      </c>
      <c r="D221" t="str">
        <f>INDEX(Lotes!$A$2:$A$53,INT((ROW()-2)/6)+1)</f>
        <v>RETEX-2024-037</v>
      </c>
      <c r="E221" t="str">
        <f>INDEX(Lotes!$D$2:$D$53,INT((ROW()-2)/6)+1)</f>
        <v>noviembre</v>
      </c>
      <c r="F221" t="s">
        <v>109</v>
      </c>
      <c r="G221" s="10">
        <v>0.28999999999999998</v>
      </c>
      <c r="H221">
        <f t="shared" si="20"/>
        <v>1</v>
      </c>
      <c r="I221" t="str">
        <f t="shared" si="18"/>
        <v>%retorno</v>
      </c>
      <c r="J221" t="str">
        <f t="shared" si="21"/>
        <v>✅ OK</v>
      </c>
      <c r="K221" t="str">
        <f t="shared" si="22"/>
        <v>🟢 OK</v>
      </c>
      <c r="L221" t="str">
        <f t="shared" si="23"/>
        <v>Gerente de Calidad</v>
      </c>
    </row>
    <row r="222" spans="1:12" x14ac:dyDescent="0.3">
      <c r="A222" t="str">
        <f t="shared" si="19"/>
        <v>KPI-221</v>
      </c>
      <c r="B222" s="2">
        <f>INDEX(Lotes!$B$2:$B$53,INT((ROW()-2)/6)+1)</f>
        <v>46347</v>
      </c>
      <c r="C222">
        <f>INDEX(Lotes!$C$2:$C$53,INT((ROW()-2)/6)+1)</f>
        <v>47</v>
      </c>
      <c r="D222" t="str">
        <f>INDEX(Lotes!$A$2:$A$53,INT((ROW()-2)/6)+1)</f>
        <v>RETEX-2024-037</v>
      </c>
      <c r="E222" t="str">
        <f>INDEX(Lotes!$D$2:$D$53,INT((ROW()-2)/6)+1)</f>
        <v>noviembre</v>
      </c>
      <c r="F222" t="s">
        <v>110</v>
      </c>
      <c r="G222" s="10">
        <v>0.73</v>
      </c>
      <c r="H222">
        <f t="shared" si="20"/>
        <v>3</v>
      </c>
      <c r="I222" t="str">
        <f t="shared" si="18"/>
        <v>%error</v>
      </c>
      <c r="J222" t="str">
        <f t="shared" si="21"/>
        <v>✅ OK</v>
      </c>
      <c r="K222" t="str">
        <f t="shared" si="22"/>
        <v>🟢 OK</v>
      </c>
      <c r="L222" t="str">
        <f t="shared" si="23"/>
        <v>Supervisor</v>
      </c>
    </row>
    <row r="223" spans="1:12" x14ac:dyDescent="0.3">
      <c r="A223" t="str">
        <f t="shared" si="19"/>
        <v>KPI-222</v>
      </c>
      <c r="B223" s="2">
        <f>INDEX(Lotes!$B$2:$B$53,INT((ROW()-2)/6)+1)</f>
        <v>46347</v>
      </c>
      <c r="C223">
        <f>INDEX(Lotes!$C$2:$C$53,INT((ROW()-2)/6)+1)</f>
        <v>47</v>
      </c>
      <c r="D223" t="str">
        <f>INDEX(Lotes!$A$2:$A$53,INT((ROW()-2)/6)+1)</f>
        <v>RETEX-2024-037</v>
      </c>
      <c r="E223" t="str">
        <f>INDEX(Lotes!$D$2:$D$53,INT((ROW()-2)/6)+1)</f>
        <v>noviembre</v>
      </c>
      <c r="F223" t="s">
        <v>111</v>
      </c>
      <c r="G223" s="10">
        <v>0.89</v>
      </c>
      <c r="H223">
        <f t="shared" si="20"/>
        <v>1</v>
      </c>
      <c r="I223" t="str">
        <f t="shared" si="18"/>
        <v>índice</v>
      </c>
      <c r="J223" t="str">
        <f t="shared" si="21"/>
        <v>❌ ALERTA</v>
      </c>
      <c r="K223" t="str">
        <f t="shared" si="22"/>
        <v>🔴 ALERTA</v>
      </c>
      <c r="L223" t="str">
        <f t="shared" si="23"/>
        <v>Ingeniero de Calidad</v>
      </c>
    </row>
    <row r="224" spans="1:12" x14ac:dyDescent="0.3">
      <c r="A224" t="str">
        <f t="shared" si="19"/>
        <v>KPI-223</v>
      </c>
      <c r="B224" s="2">
        <f>INDEX(Lotes!$B$2:$B$53,INT((ROW()-2)/6)+1)</f>
        <v>46354</v>
      </c>
      <c r="C224">
        <f>INDEX(Lotes!$C$2:$C$53,INT((ROW()-2)/6)+1)</f>
        <v>48</v>
      </c>
      <c r="D224" t="str">
        <f>INDEX(Lotes!$A$2:$A$53,INT((ROW()-2)/6)+1)</f>
        <v>RETEX-2024-038</v>
      </c>
      <c r="E224" t="str">
        <f>INDEX(Lotes!$D$2:$D$53,INT((ROW()-2)/6)+1)</f>
        <v>noviembre</v>
      </c>
      <c r="F224" t="s">
        <v>106</v>
      </c>
      <c r="G224" s="10">
        <v>95.75</v>
      </c>
      <c r="H224">
        <f t="shared" si="20"/>
        <v>96</v>
      </c>
      <c r="I224" t="str">
        <f t="shared" si="18"/>
        <v>%pureza</v>
      </c>
      <c r="J224" t="str">
        <f t="shared" si="21"/>
        <v>❌ ALERTA</v>
      </c>
      <c r="K224" t="str">
        <f t="shared" si="22"/>
        <v>🔴 ALERTA</v>
      </c>
      <c r="L224" t="str">
        <f t="shared" si="23"/>
        <v>Inspector de Calidad</v>
      </c>
    </row>
    <row r="225" spans="1:12" x14ac:dyDescent="0.3">
      <c r="A225" t="str">
        <f t="shared" si="19"/>
        <v>KPI-224</v>
      </c>
      <c r="B225" s="2">
        <f>INDEX(Lotes!$B$2:$B$53,INT((ROW()-2)/6)+1)</f>
        <v>46354</v>
      </c>
      <c r="C225">
        <f>INDEX(Lotes!$C$2:$C$53,INT((ROW()-2)/6)+1)</f>
        <v>48</v>
      </c>
      <c r="D225" t="str">
        <f>INDEX(Lotes!$A$2:$A$53,INT((ROW()-2)/6)+1)</f>
        <v>RETEX-2024-038</v>
      </c>
      <c r="E225" t="str">
        <f>INDEX(Lotes!$D$2:$D$53,INT((ROW()-2)/6)+1)</f>
        <v>noviembre</v>
      </c>
      <c r="F225" t="s">
        <v>107</v>
      </c>
      <c r="G225" s="10">
        <v>72.290000000000006</v>
      </c>
      <c r="H225">
        <f t="shared" si="20"/>
        <v>70</v>
      </c>
      <c r="I225" t="str">
        <f t="shared" si="18"/>
        <v>%rendimiento</v>
      </c>
      <c r="J225" t="str">
        <f t="shared" si="21"/>
        <v>✅ OK</v>
      </c>
      <c r="K225" t="str">
        <f t="shared" si="22"/>
        <v>🟡 PRECAUCIÓN</v>
      </c>
      <c r="L225" t="str">
        <f t="shared" si="23"/>
        <v>Coordinador de Planta</v>
      </c>
    </row>
    <row r="226" spans="1:12" x14ac:dyDescent="0.3">
      <c r="A226" t="str">
        <f t="shared" si="19"/>
        <v>KPI-225</v>
      </c>
      <c r="B226" s="2">
        <f>INDEX(Lotes!$B$2:$B$53,INT((ROW()-2)/6)+1)</f>
        <v>46354</v>
      </c>
      <c r="C226">
        <f>INDEX(Lotes!$C$2:$C$53,INT((ROW()-2)/6)+1)</f>
        <v>48</v>
      </c>
      <c r="D226" t="str">
        <f>INDEX(Lotes!$A$2:$A$53,INT((ROW()-2)/6)+1)</f>
        <v>RETEX-2024-038</v>
      </c>
      <c r="E226" t="str">
        <f>INDEX(Lotes!$D$2:$D$53,INT((ROW()-2)/6)+1)</f>
        <v>noviembre</v>
      </c>
      <c r="F226" t="s">
        <v>108</v>
      </c>
      <c r="G226" s="10">
        <v>6.79</v>
      </c>
      <c r="H226">
        <f t="shared" si="20"/>
        <v>8</v>
      </c>
      <c r="I226" t="str">
        <f t="shared" si="18"/>
        <v>%humedad</v>
      </c>
      <c r="J226" t="str">
        <f t="shared" si="21"/>
        <v>✅ OK</v>
      </c>
      <c r="K226" t="str">
        <f t="shared" si="22"/>
        <v>🟢 OK</v>
      </c>
      <c r="L226" t="str">
        <f t="shared" si="23"/>
        <v>Almacenista</v>
      </c>
    </row>
    <row r="227" spans="1:12" x14ac:dyDescent="0.3">
      <c r="A227" t="str">
        <f t="shared" si="19"/>
        <v>KPI-226</v>
      </c>
      <c r="B227" s="2">
        <f>INDEX(Lotes!$B$2:$B$53,INT((ROW()-2)/6)+1)</f>
        <v>46354</v>
      </c>
      <c r="C227">
        <f>INDEX(Lotes!$C$2:$C$53,INT((ROW()-2)/6)+1)</f>
        <v>48</v>
      </c>
      <c r="D227" t="str">
        <f>INDEX(Lotes!$A$2:$A$53,INT((ROW()-2)/6)+1)</f>
        <v>RETEX-2024-038</v>
      </c>
      <c r="E227" t="str">
        <f>INDEX(Lotes!$D$2:$D$53,INT((ROW()-2)/6)+1)</f>
        <v>noviembre</v>
      </c>
      <c r="F227" t="s">
        <v>109</v>
      </c>
      <c r="G227" s="10">
        <v>0.61</v>
      </c>
      <c r="H227">
        <f t="shared" si="20"/>
        <v>1</v>
      </c>
      <c r="I227" t="str">
        <f t="shared" si="18"/>
        <v>%retorno</v>
      </c>
      <c r="J227" t="str">
        <f t="shared" si="21"/>
        <v>✅ OK</v>
      </c>
      <c r="K227" t="str">
        <f t="shared" si="22"/>
        <v>🟢 OK</v>
      </c>
      <c r="L227" t="str">
        <f t="shared" si="23"/>
        <v>Gerente de Calidad</v>
      </c>
    </row>
    <row r="228" spans="1:12" x14ac:dyDescent="0.3">
      <c r="A228" t="str">
        <f t="shared" si="19"/>
        <v>KPI-227</v>
      </c>
      <c r="B228" s="2">
        <f>INDEX(Lotes!$B$2:$B$53,INT((ROW()-2)/6)+1)</f>
        <v>46354</v>
      </c>
      <c r="C228">
        <f>INDEX(Lotes!$C$2:$C$53,INT((ROW()-2)/6)+1)</f>
        <v>48</v>
      </c>
      <c r="D228" t="str">
        <f>INDEX(Lotes!$A$2:$A$53,INT((ROW()-2)/6)+1)</f>
        <v>RETEX-2024-038</v>
      </c>
      <c r="E228" t="str">
        <f>INDEX(Lotes!$D$2:$D$53,INT((ROW()-2)/6)+1)</f>
        <v>noviembre</v>
      </c>
      <c r="F228" t="s">
        <v>110</v>
      </c>
      <c r="G228" s="10">
        <v>2.8</v>
      </c>
      <c r="H228">
        <f t="shared" si="20"/>
        <v>3</v>
      </c>
      <c r="I228" t="str">
        <f t="shared" si="18"/>
        <v>%error</v>
      </c>
      <c r="J228" t="str">
        <f t="shared" si="21"/>
        <v>✅ OK</v>
      </c>
      <c r="K228" t="str">
        <f t="shared" si="22"/>
        <v>🟡 PRECAUCIÓN</v>
      </c>
      <c r="L228" t="str">
        <f t="shared" si="23"/>
        <v>Supervisor</v>
      </c>
    </row>
    <row r="229" spans="1:12" x14ac:dyDescent="0.3">
      <c r="A229" t="str">
        <f t="shared" si="19"/>
        <v>KPI-228</v>
      </c>
      <c r="B229" s="2">
        <f>INDEX(Lotes!$B$2:$B$53,INT((ROW()-2)/6)+1)</f>
        <v>46354</v>
      </c>
      <c r="C229">
        <f>INDEX(Lotes!$C$2:$C$53,INT((ROW()-2)/6)+1)</f>
        <v>48</v>
      </c>
      <c r="D229" t="str">
        <f>INDEX(Lotes!$A$2:$A$53,INT((ROW()-2)/6)+1)</f>
        <v>RETEX-2024-038</v>
      </c>
      <c r="E229" t="str">
        <f>INDEX(Lotes!$D$2:$D$53,INT((ROW()-2)/6)+1)</f>
        <v>noviembre</v>
      </c>
      <c r="F229" t="s">
        <v>111</v>
      </c>
      <c r="G229" s="10">
        <v>0.69</v>
      </c>
      <c r="H229">
        <f t="shared" si="20"/>
        <v>1</v>
      </c>
      <c r="I229" t="str">
        <f t="shared" si="18"/>
        <v>índice</v>
      </c>
      <c r="J229" t="str">
        <f t="shared" si="21"/>
        <v>❌ ALERTA</v>
      </c>
      <c r="K229" t="str">
        <f t="shared" si="22"/>
        <v>🔴 ALERTA</v>
      </c>
      <c r="L229" t="str">
        <f t="shared" si="23"/>
        <v>Ingeniero de Calidad</v>
      </c>
    </row>
    <row r="230" spans="1:12" x14ac:dyDescent="0.3">
      <c r="A230" t="str">
        <f t="shared" si="19"/>
        <v>KPI-229</v>
      </c>
      <c r="B230" s="2">
        <f>INDEX(Lotes!$B$2:$B$53,INT((ROW()-2)/6)+1)</f>
        <v>46361</v>
      </c>
      <c r="C230">
        <f>INDEX(Lotes!$C$2:$C$53,INT((ROW()-2)/6)+1)</f>
        <v>49</v>
      </c>
      <c r="D230" t="str">
        <f>INDEX(Lotes!$A$2:$A$53,INT((ROW()-2)/6)+1)</f>
        <v>RETEX-2024-039</v>
      </c>
      <c r="E230" t="str">
        <f>INDEX(Lotes!$D$2:$D$53,INT((ROW()-2)/6)+1)</f>
        <v>diciembre</v>
      </c>
      <c r="F230" t="s">
        <v>106</v>
      </c>
      <c r="G230" s="10">
        <v>97.36</v>
      </c>
      <c r="H230">
        <f t="shared" si="20"/>
        <v>96</v>
      </c>
      <c r="I230" t="str">
        <f t="shared" si="18"/>
        <v>%pureza</v>
      </c>
      <c r="J230" t="str">
        <f t="shared" si="21"/>
        <v>✅ OK</v>
      </c>
      <c r="K230" t="str">
        <f t="shared" si="22"/>
        <v>🟡 PRECAUCIÓN</v>
      </c>
      <c r="L230" t="str">
        <f t="shared" si="23"/>
        <v>Inspector de Calidad</v>
      </c>
    </row>
    <row r="231" spans="1:12" x14ac:dyDescent="0.3">
      <c r="A231" t="str">
        <f t="shared" si="19"/>
        <v>KPI-230</v>
      </c>
      <c r="B231" s="2">
        <f>INDEX(Lotes!$B$2:$B$53,INT((ROW()-2)/6)+1)</f>
        <v>46361</v>
      </c>
      <c r="C231">
        <f>INDEX(Lotes!$C$2:$C$53,INT((ROW()-2)/6)+1)</f>
        <v>49</v>
      </c>
      <c r="D231" t="str">
        <f>INDEX(Lotes!$A$2:$A$53,INT((ROW()-2)/6)+1)</f>
        <v>RETEX-2024-039</v>
      </c>
      <c r="E231" t="str">
        <f>INDEX(Lotes!$D$2:$D$53,INT((ROW()-2)/6)+1)</f>
        <v>diciembre</v>
      </c>
      <c r="F231" t="s">
        <v>107</v>
      </c>
      <c r="G231" s="10">
        <v>79.34</v>
      </c>
      <c r="H231">
        <f t="shared" si="20"/>
        <v>70</v>
      </c>
      <c r="I231" t="str">
        <f t="shared" si="18"/>
        <v>%rendimiento</v>
      </c>
      <c r="J231" t="str">
        <f t="shared" si="21"/>
        <v>✅ OK</v>
      </c>
      <c r="K231" t="str">
        <f t="shared" si="22"/>
        <v>🟢 OK</v>
      </c>
      <c r="L231" t="str">
        <f t="shared" si="23"/>
        <v>Coordinador de Planta</v>
      </c>
    </row>
    <row r="232" spans="1:12" x14ac:dyDescent="0.3">
      <c r="A232" t="str">
        <f t="shared" si="19"/>
        <v>KPI-231</v>
      </c>
      <c r="B232" s="2">
        <f>INDEX(Lotes!$B$2:$B$53,INT((ROW()-2)/6)+1)</f>
        <v>46361</v>
      </c>
      <c r="C232">
        <f>INDEX(Lotes!$C$2:$C$53,INT((ROW()-2)/6)+1)</f>
        <v>49</v>
      </c>
      <c r="D232" t="str">
        <f>INDEX(Lotes!$A$2:$A$53,INT((ROW()-2)/6)+1)</f>
        <v>RETEX-2024-039</v>
      </c>
      <c r="E232" t="str">
        <f>INDEX(Lotes!$D$2:$D$53,INT((ROW()-2)/6)+1)</f>
        <v>diciembre</v>
      </c>
      <c r="F232" t="s">
        <v>108</v>
      </c>
      <c r="G232" s="10">
        <v>6.7</v>
      </c>
      <c r="H232">
        <f t="shared" si="20"/>
        <v>8</v>
      </c>
      <c r="I232" t="str">
        <f t="shared" si="18"/>
        <v>%humedad</v>
      </c>
      <c r="J232" t="str">
        <f t="shared" si="21"/>
        <v>✅ OK</v>
      </c>
      <c r="K232" t="str">
        <f t="shared" si="22"/>
        <v>🟢 OK</v>
      </c>
      <c r="L232" t="str">
        <f t="shared" si="23"/>
        <v>Almacenista</v>
      </c>
    </row>
    <row r="233" spans="1:12" x14ac:dyDescent="0.3">
      <c r="A233" t="str">
        <f t="shared" si="19"/>
        <v>KPI-232</v>
      </c>
      <c r="B233" s="2">
        <f>INDEX(Lotes!$B$2:$B$53,INT((ROW()-2)/6)+1)</f>
        <v>46361</v>
      </c>
      <c r="C233">
        <f>INDEX(Lotes!$C$2:$C$53,INT((ROW()-2)/6)+1)</f>
        <v>49</v>
      </c>
      <c r="D233" t="str">
        <f>INDEX(Lotes!$A$2:$A$53,INT((ROW()-2)/6)+1)</f>
        <v>RETEX-2024-039</v>
      </c>
      <c r="E233" t="str">
        <f>INDEX(Lotes!$D$2:$D$53,INT((ROW()-2)/6)+1)</f>
        <v>diciembre</v>
      </c>
      <c r="F233" t="s">
        <v>109</v>
      </c>
      <c r="G233" s="10">
        <v>0.57999999999999996</v>
      </c>
      <c r="H233">
        <f t="shared" si="20"/>
        <v>1</v>
      </c>
      <c r="I233" t="str">
        <f t="shared" si="18"/>
        <v>%retorno</v>
      </c>
      <c r="J233" t="str">
        <f t="shared" si="21"/>
        <v>✅ OK</v>
      </c>
      <c r="K233" t="str">
        <f t="shared" si="22"/>
        <v>🟢 OK</v>
      </c>
      <c r="L233" t="str">
        <f t="shared" si="23"/>
        <v>Gerente de Calidad</v>
      </c>
    </row>
    <row r="234" spans="1:12" x14ac:dyDescent="0.3">
      <c r="A234" t="str">
        <f t="shared" si="19"/>
        <v>KPI-233</v>
      </c>
      <c r="B234" s="2">
        <f>INDEX(Lotes!$B$2:$B$53,INT((ROW()-2)/6)+1)</f>
        <v>46361</v>
      </c>
      <c r="C234">
        <f>INDEX(Lotes!$C$2:$C$53,INT((ROW()-2)/6)+1)</f>
        <v>49</v>
      </c>
      <c r="D234" t="str">
        <f>INDEX(Lotes!$A$2:$A$53,INT((ROW()-2)/6)+1)</f>
        <v>RETEX-2024-039</v>
      </c>
      <c r="E234" t="str">
        <f>INDEX(Lotes!$D$2:$D$53,INT((ROW()-2)/6)+1)</f>
        <v>diciembre</v>
      </c>
      <c r="F234" t="s">
        <v>110</v>
      </c>
      <c r="G234" s="10">
        <v>0.61</v>
      </c>
      <c r="H234">
        <f t="shared" si="20"/>
        <v>3</v>
      </c>
      <c r="I234" t="str">
        <f t="shared" si="18"/>
        <v>%error</v>
      </c>
      <c r="J234" t="str">
        <f t="shared" si="21"/>
        <v>✅ OK</v>
      </c>
      <c r="K234" t="str">
        <f t="shared" si="22"/>
        <v>🟢 OK</v>
      </c>
      <c r="L234" t="str">
        <f t="shared" si="23"/>
        <v>Supervisor</v>
      </c>
    </row>
    <row r="235" spans="1:12" x14ac:dyDescent="0.3">
      <c r="A235" t="str">
        <f t="shared" si="19"/>
        <v>KPI-234</v>
      </c>
      <c r="B235" s="2">
        <f>INDEX(Lotes!$B$2:$B$53,INT((ROW()-2)/6)+1)</f>
        <v>46361</v>
      </c>
      <c r="C235">
        <f>INDEX(Lotes!$C$2:$C$53,INT((ROW()-2)/6)+1)</f>
        <v>49</v>
      </c>
      <c r="D235" t="str">
        <f>INDEX(Lotes!$A$2:$A$53,INT((ROW()-2)/6)+1)</f>
        <v>RETEX-2024-039</v>
      </c>
      <c r="E235" t="str">
        <f>INDEX(Lotes!$D$2:$D$53,INT((ROW()-2)/6)+1)</f>
        <v>diciembre</v>
      </c>
      <c r="F235" t="s">
        <v>111</v>
      </c>
      <c r="G235" s="10">
        <v>0.96</v>
      </c>
      <c r="H235">
        <f t="shared" si="20"/>
        <v>1</v>
      </c>
      <c r="I235" t="str">
        <f t="shared" si="18"/>
        <v>índice</v>
      </c>
      <c r="J235" t="str">
        <f t="shared" si="21"/>
        <v>❌ ALERTA</v>
      </c>
      <c r="K235" t="str">
        <f t="shared" si="22"/>
        <v>🔴 ALERTA</v>
      </c>
      <c r="L235" t="str">
        <f t="shared" si="23"/>
        <v>Ingeniero de Calidad</v>
      </c>
    </row>
    <row r="236" spans="1:12" x14ac:dyDescent="0.3">
      <c r="A236" t="str">
        <f t="shared" si="19"/>
        <v>KPI-235</v>
      </c>
      <c r="B236" s="2">
        <f>INDEX(Lotes!$B$2:$B$53,INT((ROW()-2)/6)+1)</f>
        <v>46368</v>
      </c>
      <c r="C236">
        <f>INDEX(Lotes!$C$2:$C$53,INT((ROW()-2)/6)+1)</f>
        <v>50</v>
      </c>
      <c r="D236" t="str">
        <f>INDEX(Lotes!$A$2:$A$53,INT((ROW()-2)/6)+1)</f>
        <v>RETEX-2024-040</v>
      </c>
      <c r="E236" t="str">
        <f>INDEX(Lotes!$D$2:$D$53,INT((ROW()-2)/6)+1)</f>
        <v>diciembre</v>
      </c>
      <c r="F236" t="s">
        <v>106</v>
      </c>
      <c r="G236" s="10">
        <v>98.28</v>
      </c>
      <c r="H236">
        <f t="shared" si="20"/>
        <v>96</v>
      </c>
      <c r="I236" t="str">
        <f t="shared" si="18"/>
        <v>%pureza</v>
      </c>
      <c r="J236" t="str">
        <f t="shared" si="21"/>
        <v>✅ OK</v>
      </c>
      <c r="K236" t="str">
        <f t="shared" si="22"/>
        <v>🟡 PRECAUCIÓN</v>
      </c>
      <c r="L236" t="str">
        <f t="shared" si="23"/>
        <v>Inspector de Calidad</v>
      </c>
    </row>
    <row r="237" spans="1:12" x14ac:dyDescent="0.3">
      <c r="A237" t="str">
        <f t="shared" si="19"/>
        <v>KPI-236</v>
      </c>
      <c r="B237" s="2">
        <f>INDEX(Lotes!$B$2:$B$53,INT((ROW()-2)/6)+1)</f>
        <v>46368</v>
      </c>
      <c r="C237">
        <f>INDEX(Lotes!$C$2:$C$53,INT((ROW()-2)/6)+1)</f>
        <v>50</v>
      </c>
      <c r="D237" t="str">
        <f>INDEX(Lotes!$A$2:$A$53,INT((ROW()-2)/6)+1)</f>
        <v>RETEX-2024-040</v>
      </c>
      <c r="E237" t="str">
        <f>INDEX(Lotes!$D$2:$D$53,INT((ROW()-2)/6)+1)</f>
        <v>diciembre</v>
      </c>
      <c r="F237" t="s">
        <v>107</v>
      </c>
      <c r="G237" s="10">
        <v>69.39</v>
      </c>
      <c r="H237">
        <f t="shared" si="20"/>
        <v>70</v>
      </c>
      <c r="I237" t="str">
        <f t="shared" si="18"/>
        <v>%rendimiento</v>
      </c>
      <c r="J237" t="str">
        <f t="shared" si="21"/>
        <v>❌ ALERTA</v>
      </c>
      <c r="K237" t="str">
        <f t="shared" si="22"/>
        <v>🔴 ALERTA</v>
      </c>
      <c r="L237" t="str">
        <f t="shared" si="23"/>
        <v>Coordinador de Planta</v>
      </c>
    </row>
    <row r="238" spans="1:12" x14ac:dyDescent="0.3">
      <c r="A238" t="str">
        <f t="shared" si="19"/>
        <v>KPI-237</v>
      </c>
      <c r="B238" s="2">
        <f>INDEX(Lotes!$B$2:$B$53,INT((ROW()-2)/6)+1)</f>
        <v>46368</v>
      </c>
      <c r="C238">
        <f>INDEX(Lotes!$C$2:$C$53,INT((ROW()-2)/6)+1)</f>
        <v>50</v>
      </c>
      <c r="D238" t="str">
        <f>INDEX(Lotes!$A$2:$A$53,INT((ROW()-2)/6)+1)</f>
        <v>RETEX-2024-040</v>
      </c>
      <c r="E238" t="str">
        <f>INDEX(Lotes!$D$2:$D$53,INT((ROW()-2)/6)+1)</f>
        <v>diciembre</v>
      </c>
      <c r="F238" t="s">
        <v>108</v>
      </c>
      <c r="G238" s="10">
        <v>6.19</v>
      </c>
      <c r="H238">
        <f t="shared" si="20"/>
        <v>8</v>
      </c>
      <c r="I238" t="str">
        <f t="shared" si="18"/>
        <v>%humedad</v>
      </c>
      <c r="J238" t="str">
        <f t="shared" si="21"/>
        <v>✅ OK</v>
      </c>
      <c r="K238" t="str">
        <f t="shared" si="22"/>
        <v>🟢 OK</v>
      </c>
      <c r="L238" t="str">
        <f t="shared" si="23"/>
        <v>Almacenista</v>
      </c>
    </row>
    <row r="239" spans="1:12" x14ac:dyDescent="0.3">
      <c r="A239" t="str">
        <f t="shared" si="19"/>
        <v>KPI-238</v>
      </c>
      <c r="B239" s="2">
        <f>INDEX(Lotes!$B$2:$B$53,INT((ROW()-2)/6)+1)</f>
        <v>46368</v>
      </c>
      <c r="C239">
        <f>INDEX(Lotes!$C$2:$C$53,INT((ROW()-2)/6)+1)</f>
        <v>50</v>
      </c>
      <c r="D239" t="str">
        <f>INDEX(Lotes!$A$2:$A$53,INT((ROW()-2)/6)+1)</f>
        <v>RETEX-2024-040</v>
      </c>
      <c r="E239" t="str">
        <f>INDEX(Lotes!$D$2:$D$53,INT((ROW()-2)/6)+1)</f>
        <v>diciembre</v>
      </c>
      <c r="F239" t="s">
        <v>109</v>
      </c>
      <c r="G239" s="10">
        <v>0.28999999999999998</v>
      </c>
      <c r="H239">
        <f t="shared" si="20"/>
        <v>1</v>
      </c>
      <c r="I239" t="str">
        <f t="shared" si="18"/>
        <v>%retorno</v>
      </c>
      <c r="J239" t="str">
        <f t="shared" si="21"/>
        <v>✅ OK</v>
      </c>
      <c r="K239" t="str">
        <f t="shared" si="22"/>
        <v>🟢 OK</v>
      </c>
      <c r="L239" t="str">
        <f t="shared" si="23"/>
        <v>Gerente de Calidad</v>
      </c>
    </row>
    <row r="240" spans="1:12" x14ac:dyDescent="0.3">
      <c r="A240" t="str">
        <f t="shared" si="19"/>
        <v>KPI-239</v>
      </c>
      <c r="B240" s="2">
        <f>INDEX(Lotes!$B$2:$B$53,INT((ROW()-2)/6)+1)</f>
        <v>46368</v>
      </c>
      <c r="C240">
        <f>INDEX(Lotes!$C$2:$C$53,INT((ROW()-2)/6)+1)</f>
        <v>50</v>
      </c>
      <c r="D240" t="str">
        <f>INDEX(Lotes!$A$2:$A$53,INT((ROW()-2)/6)+1)</f>
        <v>RETEX-2024-040</v>
      </c>
      <c r="E240" t="str">
        <f>INDEX(Lotes!$D$2:$D$53,INT((ROW()-2)/6)+1)</f>
        <v>diciembre</v>
      </c>
      <c r="F240" t="s">
        <v>110</v>
      </c>
      <c r="G240" s="10">
        <v>2.44</v>
      </c>
      <c r="H240">
        <f t="shared" si="20"/>
        <v>3</v>
      </c>
      <c r="I240" t="str">
        <f t="shared" si="18"/>
        <v>%error</v>
      </c>
      <c r="J240" t="str">
        <f t="shared" si="21"/>
        <v>✅ OK</v>
      </c>
      <c r="K240" t="str">
        <f t="shared" si="22"/>
        <v>🟢 OK</v>
      </c>
      <c r="L240" t="str">
        <f t="shared" si="23"/>
        <v>Supervisor</v>
      </c>
    </row>
    <row r="241" spans="1:12" x14ac:dyDescent="0.3">
      <c r="A241" t="str">
        <f t="shared" si="19"/>
        <v>KPI-240</v>
      </c>
      <c r="B241" s="2">
        <f>INDEX(Lotes!$B$2:$B$53,INT((ROW()-2)/6)+1)</f>
        <v>46368</v>
      </c>
      <c r="C241">
        <f>INDEX(Lotes!$C$2:$C$53,INT((ROW()-2)/6)+1)</f>
        <v>50</v>
      </c>
      <c r="D241" t="str">
        <f>INDEX(Lotes!$A$2:$A$53,INT((ROW()-2)/6)+1)</f>
        <v>RETEX-2024-040</v>
      </c>
      <c r="E241" t="str">
        <f>INDEX(Lotes!$D$2:$D$53,INT((ROW()-2)/6)+1)</f>
        <v>diciembre</v>
      </c>
      <c r="F241" t="s">
        <v>111</v>
      </c>
      <c r="G241" s="10">
        <v>0.82</v>
      </c>
      <c r="H241">
        <f t="shared" si="20"/>
        <v>1</v>
      </c>
      <c r="I241" t="str">
        <f t="shared" si="18"/>
        <v>índice</v>
      </c>
      <c r="J241" t="str">
        <f t="shared" si="21"/>
        <v>❌ ALERTA</v>
      </c>
      <c r="K241" t="str">
        <f t="shared" si="22"/>
        <v>🔴 ALERTA</v>
      </c>
      <c r="L241" t="str">
        <f t="shared" si="23"/>
        <v>Ingeniero de Calidad</v>
      </c>
    </row>
    <row r="242" spans="1:12" x14ac:dyDescent="0.3">
      <c r="A242" t="str">
        <f t="shared" si="19"/>
        <v>KPI-241</v>
      </c>
      <c r="B242" s="2">
        <f>INDEX(Lotes!$B$2:$B$53,INT((ROW()-2)/6)+1)</f>
        <v>46375</v>
      </c>
      <c r="C242">
        <f>INDEX(Lotes!$C$2:$C$53,INT((ROW()-2)/6)+1)</f>
        <v>51</v>
      </c>
      <c r="D242" t="str">
        <f>INDEX(Lotes!$A$2:$A$53,INT((ROW()-2)/6)+1)</f>
        <v>RETEX-2024-041</v>
      </c>
      <c r="E242" t="str">
        <f>INDEX(Lotes!$D$2:$D$53,INT((ROW()-2)/6)+1)</f>
        <v>diciembre</v>
      </c>
      <c r="F242" t="s">
        <v>106</v>
      </c>
      <c r="G242" s="10">
        <v>97.79</v>
      </c>
      <c r="H242">
        <f t="shared" si="20"/>
        <v>96</v>
      </c>
      <c r="I242" t="str">
        <f t="shared" si="18"/>
        <v>%pureza</v>
      </c>
      <c r="J242" t="str">
        <f t="shared" si="21"/>
        <v>✅ OK</v>
      </c>
      <c r="K242" t="str">
        <f t="shared" si="22"/>
        <v>🟡 PRECAUCIÓN</v>
      </c>
      <c r="L242" t="str">
        <f t="shared" si="23"/>
        <v>Inspector de Calidad</v>
      </c>
    </row>
    <row r="243" spans="1:12" x14ac:dyDescent="0.3">
      <c r="A243" t="str">
        <f t="shared" si="19"/>
        <v>KPI-242</v>
      </c>
      <c r="B243" s="2">
        <f>INDEX(Lotes!$B$2:$B$53,INT((ROW()-2)/6)+1)</f>
        <v>46375</v>
      </c>
      <c r="C243">
        <f>INDEX(Lotes!$C$2:$C$53,INT((ROW()-2)/6)+1)</f>
        <v>51</v>
      </c>
      <c r="D243" t="str">
        <f>INDEX(Lotes!$A$2:$A$53,INT((ROW()-2)/6)+1)</f>
        <v>RETEX-2024-041</v>
      </c>
      <c r="E243" t="str">
        <f>INDEX(Lotes!$D$2:$D$53,INT((ROW()-2)/6)+1)</f>
        <v>diciembre</v>
      </c>
      <c r="F243" t="s">
        <v>107</v>
      </c>
      <c r="G243" s="10">
        <v>67.430000000000007</v>
      </c>
      <c r="H243">
        <f t="shared" si="20"/>
        <v>70</v>
      </c>
      <c r="I243" t="str">
        <f t="shared" si="18"/>
        <v>%rendimiento</v>
      </c>
      <c r="J243" t="str">
        <f t="shared" si="21"/>
        <v>❌ ALERTA</v>
      </c>
      <c r="K243" t="str">
        <f t="shared" si="22"/>
        <v>🔴 ALERTA</v>
      </c>
      <c r="L243" t="str">
        <f t="shared" si="23"/>
        <v>Coordinador de Planta</v>
      </c>
    </row>
    <row r="244" spans="1:12" x14ac:dyDescent="0.3">
      <c r="A244" t="str">
        <f t="shared" si="19"/>
        <v>KPI-243</v>
      </c>
      <c r="B244" s="2">
        <f>INDEX(Lotes!$B$2:$B$53,INT((ROW()-2)/6)+1)</f>
        <v>46375</v>
      </c>
      <c r="C244">
        <f>INDEX(Lotes!$C$2:$C$53,INT((ROW()-2)/6)+1)</f>
        <v>51</v>
      </c>
      <c r="D244" t="str">
        <f>INDEX(Lotes!$A$2:$A$53,INT((ROW()-2)/6)+1)</f>
        <v>RETEX-2024-041</v>
      </c>
      <c r="E244" t="str">
        <f>INDEX(Lotes!$D$2:$D$53,INT((ROW()-2)/6)+1)</f>
        <v>diciembre</v>
      </c>
      <c r="F244" t="s">
        <v>108</v>
      </c>
      <c r="G244" s="10">
        <v>5.56</v>
      </c>
      <c r="H244">
        <f t="shared" si="20"/>
        <v>8</v>
      </c>
      <c r="I244" t="str">
        <f t="shared" si="18"/>
        <v>%humedad</v>
      </c>
      <c r="J244" t="str">
        <f t="shared" si="21"/>
        <v>✅ OK</v>
      </c>
      <c r="K244" t="str">
        <f t="shared" si="22"/>
        <v>🟢 OK</v>
      </c>
      <c r="L244" t="str">
        <f t="shared" si="23"/>
        <v>Almacenista</v>
      </c>
    </row>
    <row r="245" spans="1:12" x14ac:dyDescent="0.3">
      <c r="A245" t="str">
        <f t="shared" si="19"/>
        <v>KPI-244</v>
      </c>
      <c r="B245" s="2">
        <f>INDEX(Lotes!$B$2:$B$53,INT((ROW()-2)/6)+1)</f>
        <v>46375</v>
      </c>
      <c r="C245">
        <f>INDEX(Lotes!$C$2:$C$53,INT((ROW()-2)/6)+1)</f>
        <v>51</v>
      </c>
      <c r="D245" t="str">
        <f>INDEX(Lotes!$A$2:$A$53,INT((ROW()-2)/6)+1)</f>
        <v>RETEX-2024-041</v>
      </c>
      <c r="E245" t="str">
        <f>INDEX(Lotes!$D$2:$D$53,INT((ROW()-2)/6)+1)</f>
        <v>diciembre</v>
      </c>
      <c r="F245" t="s">
        <v>109</v>
      </c>
      <c r="G245" s="10">
        <v>0.52</v>
      </c>
      <c r="H245">
        <f t="shared" si="20"/>
        <v>1</v>
      </c>
      <c r="I245" t="str">
        <f t="shared" si="18"/>
        <v>%retorno</v>
      </c>
      <c r="J245" t="str">
        <f t="shared" si="21"/>
        <v>✅ OK</v>
      </c>
      <c r="K245" t="str">
        <f t="shared" si="22"/>
        <v>🟢 OK</v>
      </c>
      <c r="L245" t="str">
        <f t="shared" si="23"/>
        <v>Gerente de Calidad</v>
      </c>
    </row>
    <row r="246" spans="1:12" x14ac:dyDescent="0.3">
      <c r="A246" t="str">
        <f t="shared" si="19"/>
        <v>KPI-245</v>
      </c>
      <c r="B246" s="2">
        <f>INDEX(Lotes!$B$2:$B$53,INT((ROW()-2)/6)+1)</f>
        <v>46375</v>
      </c>
      <c r="C246">
        <f>INDEX(Lotes!$C$2:$C$53,INT((ROW()-2)/6)+1)</f>
        <v>51</v>
      </c>
      <c r="D246" t="str">
        <f>INDEX(Lotes!$A$2:$A$53,INT((ROW()-2)/6)+1)</f>
        <v>RETEX-2024-041</v>
      </c>
      <c r="E246" t="str">
        <f>INDEX(Lotes!$D$2:$D$53,INT((ROW()-2)/6)+1)</f>
        <v>diciembre</v>
      </c>
      <c r="F246" t="s">
        <v>110</v>
      </c>
      <c r="G246" s="10">
        <v>1.4</v>
      </c>
      <c r="H246">
        <f t="shared" si="20"/>
        <v>3</v>
      </c>
      <c r="I246" t="str">
        <f t="shared" si="18"/>
        <v>%error</v>
      </c>
      <c r="J246" t="str">
        <f t="shared" si="21"/>
        <v>✅ OK</v>
      </c>
      <c r="K246" t="str">
        <f t="shared" si="22"/>
        <v>🟢 OK</v>
      </c>
      <c r="L246" t="str">
        <f t="shared" si="23"/>
        <v>Supervisor</v>
      </c>
    </row>
    <row r="247" spans="1:12" x14ac:dyDescent="0.3">
      <c r="A247" t="str">
        <f t="shared" si="19"/>
        <v>KPI-246</v>
      </c>
      <c r="B247" s="2">
        <f>INDEX(Lotes!$B$2:$B$53,INT((ROW()-2)/6)+1)</f>
        <v>46375</v>
      </c>
      <c r="C247">
        <f>INDEX(Lotes!$C$2:$C$53,INT((ROW()-2)/6)+1)</f>
        <v>51</v>
      </c>
      <c r="D247" t="str">
        <f>INDEX(Lotes!$A$2:$A$53,INT((ROW()-2)/6)+1)</f>
        <v>RETEX-2024-041</v>
      </c>
      <c r="E247" t="str">
        <f>INDEX(Lotes!$D$2:$D$53,INT((ROW()-2)/6)+1)</f>
        <v>diciembre</v>
      </c>
      <c r="F247" t="s">
        <v>111</v>
      </c>
      <c r="G247" s="10">
        <v>1.07</v>
      </c>
      <c r="H247">
        <f t="shared" si="20"/>
        <v>1</v>
      </c>
      <c r="I247" t="str">
        <f t="shared" si="18"/>
        <v>índice</v>
      </c>
      <c r="J247" t="str">
        <f t="shared" si="21"/>
        <v>✅ OK</v>
      </c>
      <c r="K247" t="str">
        <f t="shared" si="22"/>
        <v>🟢 OK</v>
      </c>
      <c r="L247" t="str">
        <f t="shared" si="23"/>
        <v>Ingeniero de Calidad</v>
      </c>
    </row>
    <row r="248" spans="1:12" x14ac:dyDescent="0.3">
      <c r="A248" t="str">
        <f t="shared" si="19"/>
        <v>KPI-247</v>
      </c>
      <c r="B248" s="2">
        <f>INDEX(Lotes!$B$2:$B$53,INT((ROW()-2)/6)+1)</f>
        <v>46382</v>
      </c>
      <c r="C248">
        <f>INDEX(Lotes!$C$2:$C$53,INT((ROW()-2)/6)+1)</f>
        <v>52</v>
      </c>
      <c r="D248" t="str">
        <f>INDEX(Lotes!$A$2:$A$53,INT((ROW()-2)/6)+1)</f>
        <v>RETEX-2024-042</v>
      </c>
      <c r="E248" t="str">
        <f>INDEX(Lotes!$D$2:$D$53,INT((ROW()-2)/6)+1)</f>
        <v>diciembre</v>
      </c>
      <c r="F248" t="s">
        <v>106</v>
      </c>
      <c r="G248" s="10">
        <v>97.55</v>
      </c>
      <c r="H248">
        <f t="shared" si="20"/>
        <v>96</v>
      </c>
      <c r="I248" t="str">
        <f t="shared" si="18"/>
        <v>%pureza</v>
      </c>
      <c r="J248" t="str">
        <f t="shared" si="21"/>
        <v>✅ OK</v>
      </c>
      <c r="K248" t="str">
        <f t="shared" si="22"/>
        <v>🟡 PRECAUCIÓN</v>
      </c>
      <c r="L248" t="str">
        <f t="shared" si="23"/>
        <v>Inspector de Calidad</v>
      </c>
    </row>
    <row r="249" spans="1:12" x14ac:dyDescent="0.3">
      <c r="A249" t="str">
        <f t="shared" si="19"/>
        <v>KPI-248</v>
      </c>
      <c r="B249" s="2">
        <f>INDEX(Lotes!$B$2:$B$53,INT((ROW()-2)/6)+1)</f>
        <v>46382</v>
      </c>
      <c r="C249">
        <f>INDEX(Lotes!$C$2:$C$53,INT((ROW()-2)/6)+1)</f>
        <v>52</v>
      </c>
      <c r="D249" t="str">
        <f>INDEX(Lotes!$A$2:$A$53,INT((ROW()-2)/6)+1)</f>
        <v>RETEX-2024-042</v>
      </c>
      <c r="E249" t="str">
        <f>INDEX(Lotes!$D$2:$D$53,INT((ROW()-2)/6)+1)</f>
        <v>diciembre</v>
      </c>
      <c r="F249" t="s">
        <v>107</v>
      </c>
      <c r="G249" s="10">
        <v>77.760000000000005</v>
      </c>
      <c r="H249">
        <f t="shared" si="20"/>
        <v>70</v>
      </c>
      <c r="I249" t="str">
        <f t="shared" si="18"/>
        <v>%rendimiento</v>
      </c>
      <c r="J249" t="str">
        <f t="shared" si="21"/>
        <v>✅ OK</v>
      </c>
      <c r="K249" t="str">
        <f t="shared" si="22"/>
        <v>🟢 OK</v>
      </c>
      <c r="L249" t="str">
        <f t="shared" si="23"/>
        <v>Coordinador de Planta</v>
      </c>
    </row>
    <row r="250" spans="1:12" x14ac:dyDescent="0.3">
      <c r="A250" t="str">
        <f t="shared" si="19"/>
        <v>KPI-249</v>
      </c>
      <c r="B250" s="2">
        <f>INDEX(Lotes!$B$2:$B$53,INT((ROW()-2)/6)+1)</f>
        <v>46382</v>
      </c>
      <c r="C250">
        <f>INDEX(Lotes!$C$2:$C$53,INT((ROW()-2)/6)+1)</f>
        <v>52</v>
      </c>
      <c r="D250" t="str">
        <f>INDEX(Lotes!$A$2:$A$53,INT((ROW()-2)/6)+1)</f>
        <v>RETEX-2024-042</v>
      </c>
      <c r="E250" t="str">
        <f>INDEX(Lotes!$D$2:$D$53,INT((ROW()-2)/6)+1)</f>
        <v>diciembre</v>
      </c>
      <c r="F250" t="s">
        <v>108</v>
      </c>
      <c r="G250" s="10">
        <v>5.45</v>
      </c>
      <c r="H250">
        <f t="shared" si="20"/>
        <v>8</v>
      </c>
      <c r="I250" t="str">
        <f t="shared" si="18"/>
        <v>%humedad</v>
      </c>
      <c r="J250" t="str">
        <f t="shared" si="21"/>
        <v>✅ OK</v>
      </c>
      <c r="K250" t="str">
        <f t="shared" si="22"/>
        <v>🟢 OK</v>
      </c>
      <c r="L250" t="str">
        <f t="shared" si="23"/>
        <v>Almacenista</v>
      </c>
    </row>
    <row r="251" spans="1:12" x14ac:dyDescent="0.3">
      <c r="A251" t="str">
        <f t="shared" si="19"/>
        <v>KPI-250</v>
      </c>
      <c r="B251" s="2">
        <f>INDEX(Lotes!$B$2:$B$53,INT((ROW()-2)/6)+1)</f>
        <v>46382</v>
      </c>
      <c r="C251">
        <f>INDEX(Lotes!$C$2:$C$53,INT((ROW()-2)/6)+1)</f>
        <v>52</v>
      </c>
      <c r="D251" t="str">
        <f>INDEX(Lotes!$A$2:$A$53,INT((ROW()-2)/6)+1)</f>
        <v>RETEX-2024-042</v>
      </c>
      <c r="E251" t="str">
        <f>INDEX(Lotes!$D$2:$D$53,INT((ROW()-2)/6)+1)</f>
        <v>diciembre</v>
      </c>
      <c r="F251" t="s">
        <v>109</v>
      </c>
      <c r="G251" s="10">
        <v>0.91</v>
      </c>
      <c r="H251">
        <f t="shared" si="20"/>
        <v>1</v>
      </c>
      <c r="I251" t="str">
        <f t="shared" si="18"/>
        <v>%retorno</v>
      </c>
      <c r="J251" t="str">
        <f t="shared" si="21"/>
        <v>✅ OK</v>
      </c>
      <c r="K251" t="str">
        <f t="shared" si="22"/>
        <v>🟡 PRECAUCIÓN</v>
      </c>
      <c r="L251" t="str">
        <f t="shared" si="23"/>
        <v>Gerente de Calidad</v>
      </c>
    </row>
    <row r="252" spans="1:12" x14ac:dyDescent="0.3">
      <c r="A252" t="str">
        <f t="shared" si="19"/>
        <v>KPI-251</v>
      </c>
      <c r="B252" s="2">
        <f>INDEX(Lotes!$B$2:$B$53,INT((ROW()-2)/6)+1)</f>
        <v>46382</v>
      </c>
      <c r="C252">
        <f>INDEX(Lotes!$C$2:$C$53,INT((ROW()-2)/6)+1)</f>
        <v>52</v>
      </c>
      <c r="D252" t="str">
        <f>INDEX(Lotes!$A$2:$A$53,INT((ROW()-2)/6)+1)</f>
        <v>RETEX-2024-042</v>
      </c>
      <c r="E252" t="str">
        <f>INDEX(Lotes!$D$2:$D$53,INT((ROW()-2)/6)+1)</f>
        <v>diciembre</v>
      </c>
      <c r="F252" t="s">
        <v>110</v>
      </c>
      <c r="G252" s="10">
        <v>3.63</v>
      </c>
      <c r="H252">
        <f t="shared" si="20"/>
        <v>3</v>
      </c>
      <c r="I252" t="str">
        <f t="shared" si="18"/>
        <v>%error</v>
      </c>
      <c r="J252" t="str">
        <f t="shared" si="21"/>
        <v>❌ ALERTA</v>
      </c>
      <c r="K252" t="str">
        <f t="shared" si="22"/>
        <v>🔴 ALERTA</v>
      </c>
      <c r="L252" t="str">
        <f t="shared" si="23"/>
        <v>Supervisor</v>
      </c>
    </row>
    <row r="253" spans="1:12" x14ac:dyDescent="0.3">
      <c r="A253" t="str">
        <f t="shared" si="19"/>
        <v>KPI-252</v>
      </c>
      <c r="B253" s="2">
        <f>INDEX(Lotes!$B$2:$B$53,INT((ROW()-2)/6)+1)</f>
        <v>46382</v>
      </c>
      <c r="C253">
        <f>INDEX(Lotes!$C$2:$C$53,INT((ROW()-2)/6)+1)</f>
        <v>52</v>
      </c>
      <c r="D253" t="str">
        <f>INDEX(Lotes!$A$2:$A$53,INT((ROW()-2)/6)+1)</f>
        <v>RETEX-2024-042</v>
      </c>
      <c r="E253" t="str">
        <f>INDEX(Lotes!$D$2:$D$53,INT((ROW()-2)/6)+1)</f>
        <v>diciembre</v>
      </c>
      <c r="F253" t="s">
        <v>111</v>
      </c>
      <c r="G253" s="10">
        <v>0.83</v>
      </c>
      <c r="H253">
        <f t="shared" si="20"/>
        <v>1</v>
      </c>
      <c r="I253" t="str">
        <f t="shared" si="18"/>
        <v>índice</v>
      </c>
      <c r="J253" t="str">
        <f t="shared" si="21"/>
        <v>❌ ALERTA</v>
      </c>
      <c r="K253" t="str">
        <f t="shared" si="22"/>
        <v>🔴 ALERTA</v>
      </c>
      <c r="L253" t="str">
        <f t="shared" si="23"/>
        <v>Ingeniero de Calidad</v>
      </c>
    </row>
    <row r="254" spans="1:12" x14ac:dyDescent="0.3">
      <c r="A254" t="str">
        <f t="shared" si="19"/>
        <v>KPI-253</v>
      </c>
      <c r="B254" s="2">
        <f>INDEX(Lotes!$B$2:$B$53,INT((ROW()-2)/6)+1)</f>
        <v>46389</v>
      </c>
      <c r="C254">
        <f>INDEX(Lotes!$C$2:$C$53,INT((ROW()-2)/6)+1)</f>
        <v>1</v>
      </c>
      <c r="D254" t="str">
        <f>INDEX(Lotes!$A$2:$A$53,INT((ROW()-2)/6)+1)</f>
        <v>RETEX-2024-043</v>
      </c>
      <c r="E254" t="str">
        <f>INDEX(Lotes!$D$2:$D$53,INT((ROW()-2)/6)+1)</f>
        <v>enero</v>
      </c>
      <c r="F254" t="s">
        <v>106</v>
      </c>
      <c r="G254" s="10">
        <v>98.1</v>
      </c>
      <c r="H254">
        <f t="shared" si="20"/>
        <v>96</v>
      </c>
      <c r="I254" t="str">
        <f t="shared" si="18"/>
        <v>%pureza</v>
      </c>
      <c r="J254" t="str">
        <f t="shared" si="21"/>
        <v>✅ OK</v>
      </c>
      <c r="K254" t="str">
        <f t="shared" si="22"/>
        <v>🟡 PRECAUCIÓN</v>
      </c>
      <c r="L254" t="str">
        <f t="shared" si="23"/>
        <v>Inspector de Calidad</v>
      </c>
    </row>
    <row r="255" spans="1:12" x14ac:dyDescent="0.3">
      <c r="A255" t="str">
        <f t="shared" si="19"/>
        <v>KPI-254</v>
      </c>
      <c r="B255" s="2">
        <f>INDEX(Lotes!$B$2:$B$53,INT((ROW()-2)/6)+1)</f>
        <v>46389</v>
      </c>
      <c r="C255">
        <f>INDEX(Lotes!$C$2:$C$53,INT((ROW()-2)/6)+1)</f>
        <v>1</v>
      </c>
      <c r="D255" t="str">
        <f>INDEX(Lotes!$A$2:$A$53,INT((ROW()-2)/6)+1)</f>
        <v>RETEX-2024-043</v>
      </c>
      <c r="E255" t="str">
        <f>INDEX(Lotes!$D$2:$D$53,INT((ROW()-2)/6)+1)</f>
        <v>enero</v>
      </c>
      <c r="F255" t="s">
        <v>107</v>
      </c>
      <c r="G255" s="10">
        <v>76.36</v>
      </c>
      <c r="H255">
        <f t="shared" si="20"/>
        <v>70</v>
      </c>
      <c r="I255" t="str">
        <f t="shared" si="18"/>
        <v>%rendimiento</v>
      </c>
      <c r="J255" t="str">
        <f t="shared" si="21"/>
        <v>✅ OK</v>
      </c>
      <c r="K255" t="str">
        <f t="shared" si="22"/>
        <v>🟢 OK</v>
      </c>
      <c r="L255" t="str">
        <f t="shared" si="23"/>
        <v>Coordinador de Planta</v>
      </c>
    </row>
    <row r="256" spans="1:12" x14ac:dyDescent="0.3">
      <c r="A256" t="str">
        <f t="shared" si="19"/>
        <v>KPI-255</v>
      </c>
      <c r="B256" s="2">
        <f>INDEX(Lotes!$B$2:$B$53,INT((ROW()-2)/6)+1)</f>
        <v>46389</v>
      </c>
      <c r="C256">
        <f>INDEX(Lotes!$C$2:$C$53,INT((ROW()-2)/6)+1)</f>
        <v>1</v>
      </c>
      <c r="D256" t="str">
        <f>INDEX(Lotes!$A$2:$A$53,INT((ROW()-2)/6)+1)</f>
        <v>RETEX-2024-043</v>
      </c>
      <c r="E256" t="str">
        <f>INDEX(Lotes!$D$2:$D$53,INT((ROW()-2)/6)+1)</f>
        <v>enero</v>
      </c>
      <c r="F256" t="s">
        <v>108</v>
      </c>
      <c r="G256" s="10">
        <v>6.72</v>
      </c>
      <c r="H256">
        <f t="shared" si="20"/>
        <v>8</v>
      </c>
      <c r="I256" t="str">
        <f t="shared" si="18"/>
        <v>%humedad</v>
      </c>
      <c r="J256" t="str">
        <f t="shared" si="21"/>
        <v>✅ OK</v>
      </c>
      <c r="K256" t="str">
        <f t="shared" si="22"/>
        <v>🟢 OK</v>
      </c>
      <c r="L256" t="str">
        <f t="shared" si="23"/>
        <v>Almacenista</v>
      </c>
    </row>
    <row r="257" spans="1:12" x14ac:dyDescent="0.3">
      <c r="A257" t="str">
        <f t="shared" si="19"/>
        <v>KPI-256</v>
      </c>
      <c r="B257" s="2">
        <f>INDEX(Lotes!$B$2:$B$53,INT((ROW()-2)/6)+1)</f>
        <v>46389</v>
      </c>
      <c r="C257">
        <f>INDEX(Lotes!$C$2:$C$53,INT((ROW()-2)/6)+1)</f>
        <v>1</v>
      </c>
      <c r="D257" t="str">
        <f>INDEX(Lotes!$A$2:$A$53,INT((ROW()-2)/6)+1)</f>
        <v>RETEX-2024-043</v>
      </c>
      <c r="E257" t="str">
        <f>INDEX(Lotes!$D$2:$D$53,INT((ROW()-2)/6)+1)</f>
        <v>enero</v>
      </c>
      <c r="F257" t="s">
        <v>109</v>
      </c>
      <c r="G257" s="10">
        <v>0.68</v>
      </c>
      <c r="H257">
        <f t="shared" si="20"/>
        <v>1</v>
      </c>
      <c r="I257" t="str">
        <f t="shared" si="18"/>
        <v>%retorno</v>
      </c>
      <c r="J257" t="str">
        <f t="shared" si="21"/>
        <v>✅ OK</v>
      </c>
      <c r="K257" t="str">
        <f t="shared" si="22"/>
        <v>🟢 OK</v>
      </c>
      <c r="L257" t="str">
        <f t="shared" si="23"/>
        <v>Gerente de Calidad</v>
      </c>
    </row>
    <row r="258" spans="1:12" x14ac:dyDescent="0.3">
      <c r="A258" t="str">
        <f t="shared" si="19"/>
        <v>KPI-257</v>
      </c>
      <c r="B258" s="2">
        <f>INDEX(Lotes!$B$2:$B$53,INT((ROW()-2)/6)+1)</f>
        <v>46389</v>
      </c>
      <c r="C258">
        <f>INDEX(Lotes!$C$2:$C$53,INT((ROW()-2)/6)+1)</f>
        <v>1</v>
      </c>
      <c r="D258" t="str">
        <f>INDEX(Lotes!$A$2:$A$53,INT((ROW()-2)/6)+1)</f>
        <v>RETEX-2024-043</v>
      </c>
      <c r="E258" t="str">
        <f>INDEX(Lotes!$D$2:$D$53,INT((ROW()-2)/6)+1)</f>
        <v>enero</v>
      </c>
      <c r="F258" t="s">
        <v>110</v>
      </c>
      <c r="G258" s="10">
        <v>2.21</v>
      </c>
      <c r="H258">
        <f t="shared" si="20"/>
        <v>3</v>
      </c>
      <c r="I258" t="str">
        <f t="shared" ref="I258:I313" si="24">IF(F258="IPL","%pureza",IF(F258="RS","%rendimiento",IF(F258="VH","%humedad",IF(F258="TR","%retorno",IF(F258="TEC","%error","índice")))))</f>
        <v>%error</v>
      </c>
      <c r="J258" t="str">
        <f t="shared" si="21"/>
        <v>✅ OK</v>
      </c>
      <c r="K258" t="str">
        <f t="shared" si="22"/>
        <v>🟢 OK</v>
      </c>
      <c r="L258" t="str">
        <f t="shared" si="23"/>
        <v>Supervisor</v>
      </c>
    </row>
    <row r="259" spans="1:12" x14ac:dyDescent="0.3">
      <c r="A259" t="str">
        <f t="shared" ref="A259:A313" si="25">"KPI-"&amp;TEXT(ROW()-1,"000")</f>
        <v>KPI-258</v>
      </c>
      <c r="B259" s="2">
        <f>INDEX(Lotes!$B$2:$B$53,INT((ROW()-2)/6)+1)</f>
        <v>46389</v>
      </c>
      <c r="C259">
        <f>INDEX(Lotes!$C$2:$C$53,INT((ROW()-2)/6)+1)</f>
        <v>1</v>
      </c>
      <c r="D259" t="str">
        <f>INDEX(Lotes!$A$2:$A$53,INT((ROW()-2)/6)+1)</f>
        <v>RETEX-2024-043</v>
      </c>
      <c r="E259" t="str">
        <f>INDEX(Lotes!$D$2:$D$53,INT((ROW()-2)/6)+1)</f>
        <v>enero</v>
      </c>
      <c r="F259" t="s">
        <v>111</v>
      </c>
      <c r="G259" s="10">
        <v>0.82</v>
      </c>
      <c r="H259">
        <f t="shared" ref="H259:H313" si="26">IF(F259="IPL",96,IF(F259="RS",70,IF(F259="VH",8,IF(F259="TR",1,IF(F259="TEC",3,1)))))</f>
        <v>1</v>
      </c>
      <c r="I259" t="str">
        <f t="shared" si="24"/>
        <v>índice</v>
      </c>
      <c r="J259" t="str">
        <f t="shared" ref="J259:J313" si="27">IF(OR(F259="IPL",F259="RS",F259="Cpk_Mensual"),IF(G259&lt;H259,"❌ ALERTA","✅ OK"),IF(G259&gt;H259,"❌ ALERTA","✅ OK"))</f>
        <v>❌ ALERTA</v>
      </c>
      <c r="K259" t="str">
        <f t="shared" ref="K259:K313" si="28">IF(OR(F259="IPL",F259="RS",F259="Cpk_Mensual"),IF(G259&lt;H259,"🔴 ALERTA",IF(G259&lt;H259*1.05,"🟡 PRECAUCIÓN","🟢 OK")),IF(G259&gt;H259,"🔴 ALERTA",IF(G259&gt;H259*0.85,"🟡 PRECAUCIÓN","🟢 OK")))</f>
        <v>🔴 ALERTA</v>
      </c>
      <c r="L259" t="str">
        <f t="shared" ref="L259:L313" si="29">IF(F259="IPL","Inspector de Calidad",IF(F259="RS","Coordinador de Planta",IF(F259="VH","Almacenista",IF(F259="TR","Gerente de Calidad",IF(F259="TEC","Supervisor","Ingeniero de Calidad")))))</f>
        <v>Ingeniero de Calidad</v>
      </c>
    </row>
    <row r="260" spans="1:12" x14ac:dyDescent="0.3">
      <c r="A260" t="str">
        <f t="shared" si="25"/>
        <v>KPI-259</v>
      </c>
      <c r="B260" s="2">
        <f>INDEX(Lotes!$B$2:$B$53,INT((ROW()-2)/6)+1)</f>
        <v>46396</v>
      </c>
      <c r="C260">
        <f>INDEX(Lotes!$C$2:$C$53,INT((ROW()-2)/6)+1)</f>
        <v>2</v>
      </c>
      <c r="D260" t="str">
        <f>INDEX(Lotes!$A$2:$A$53,INT((ROW()-2)/6)+1)</f>
        <v>RETEX-2024-044</v>
      </c>
      <c r="E260" t="str">
        <f>INDEX(Lotes!$D$2:$D$53,INT((ROW()-2)/6)+1)</f>
        <v>enero</v>
      </c>
      <c r="F260" t="s">
        <v>106</v>
      </c>
      <c r="G260" s="10">
        <v>97.72</v>
      </c>
      <c r="H260">
        <f t="shared" si="26"/>
        <v>96</v>
      </c>
      <c r="I260" t="str">
        <f t="shared" si="24"/>
        <v>%pureza</v>
      </c>
      <c r="J260" t="str">
        <f t="shared" si="27"/>
        <v>✅ OK</v>
      </c>
      <c r="K260" t="str">
        <f t="shared" si="28"/>
        <v>🟡 PRECAUCIÓN</v>
      </c>
      <c r="L260" t="str">
        <f t="shared" si="29"/>
        <v>Inspector de Calidad</v>
      </c>
    </row>
    <row r="261" spans="1:12" x14ac:dyDescent="0.3">
      <c r="A261" t="str">
        <f t="shared" si="25"/>
        <v>KPI-260</v>
      </c>
      <c r="B261" s="2">
        <f>INDEX(Lotes!$B$2:$B$53,INT((ROW()-2)/6)+1)</f>
        <v>46396</v>
      </c>
      <c r="C261">
        <f>INDEX(Lotes!$C$2:$C$53,INT((ROW()-2)/6)+1)</f>
        <v>2</v>
      </c>
      <c r="D261" t="str">
        <f>INDEX(Lotes!$A$2:$A$53,INT((ROW()-2)/6)+1)</f>
        <v>RETEX-2024-044</v>
      </c>
      <c r="E261" t="str">
        <f>INDEX(Lotes!$D$2:$D$53,INT((ROW()-2)/6)+1)</f>
        <v>enero</v>
      </c>
      <c r="F261" t="s">
        <v>107</v>
      </c>
      <c r="G261" s="10">
        <v>72.41</v>
      </c>
      <c r="H261">
        <f t="shared" si="26"/>
        <v>70</v>
      </c>
      <c r="I261" t="str">
        <f t="shared" si="24"/>
        <v>%rendimiento</v>
      </c>
      <c r="J261" t="str">
        <f t="shared" si="27"/>
        <v>✅ OK</v>
      </c>
      <c r="K261" t="str">
        <f t="shared" si="28"/>
        <v>🟡 PRECAUCIÓN</v>
      </c>
      <c r="L261" t="str">
        <f t="shared" si="29"/>
        <v>Coordinador de Planta</v>
      </c>
    </row>
    <row r="262" spans="1:12" x14ac:dyDescent="0.3">
      <c r="A262" t="str">
        <f t="shared" si="25"/>
        <v>KPI-261</v>
      </c>
      <c r="B262" s="2">
        <f>INDEX(Lotes!$B$2:$B$53,INT((ROW()-2)/6)+1)</f>
        <v>46396</v>
      </c>
      <c r="C262">
        <f>INDEX(Lotes!$C$2:$C$53,INT((ROW()-2)/6)+1)</f>
        <v>2</v>
      </c>
      <c r="D262" t="str">
        <f>INDEX(Lotes!$A$2:$A$53,INT((ROW()-2)/6)+1)</f>
        <v>RETEX-2024-044</v>
      </c>
      <c r="E262" t="str">
        <f>INDEX(Lotes!$D$2:$D$53,INT((ROW()-2)/6)+1)</f>
        <v>enero</v>
      </c>
      <c r="F262" t="s">
        <v>108</v>
      </c>
      <c r="G262" s="10">
        <v>5.91</v>
      </c>
      <c r="H262">
        <f t="shared" si="26"/>
        <v>8</v>
      </c>
      <c r="I262" t="str">
        <f t="shared" si="24"/>
        <v>%humedad</v>
      </c>
      <c r="J262" t="str">
        <f t="shared" si="27"/>
        <v>✅ OK</v>
      </c>
      <c r="K262" t="str">
        <f t="shared" si="28"/>
        <v>🟢 OK</v>
      </c>
      <c r="L262" t="str">
        <f t="shared" si="29"/>
        <v>Almacenista</v>
      </c>
    </row>
    <row r="263" spans="1:12" x14ac:dyDescent="0.3">
      <c r="A263" t="str">
        <f t="shared" si="25"/>
        <v>KPI-262</v>
      </c>
      <c r="B263" s="2">
        <f>INDEX(Lotes!$B$2:$B$53,INT((ROW()-2)/6)+1)</f>
        <v>46396</v>
      </c>
      <c r="C263">
        <f>INDEX(Lotes!$C$2:$C$53,INT((ROW()-2)/6)+1)</f>
        <v>2</v>
      </c>
      <c r="D263" t="str">
        <f>INDEX(Lotes!$A$2:$A$53,INT((ROW()-2)/6)+1)</f>
        <v>RETEX-2024-044</v>
      </c>
      <c r="E263" t="str">
        <f>INDEX(Lotes!$D$2:$D$53,INT((ROW()-2)/6)+1)</f>
        <v>enero</v>
      </c>
      <c r="F263" t="s">
        <v>109</v>
      </c>
      <c r="G263" s="10">
        <v>1.06</v>
      </c>
      <c r="H263">
        <f t="shared" si="26"/>
        <v>1</v>
      </c>
      <c r="I263" t="str">
        <f t="shared" si="24"/>
        <v>%retorno</v>
      </c>
      <c r="J263" t="str">
        <f t="shared" si="27"/>
        <v>❌ ALERTA</v>
      </c>
      <c r="K263" t="str">
        <f t="shared" si="28"/>
        <v>🔴 ALERTA</v>
      </c>
      <c r="L263" t="str">
        <f t="shared" si="29"/>
        <v>Gerente de Calidad</v>
      </c>
    </row>
    <row r="264" spans="1:12" x14ac:dyDescent="0.3">
      <c r="A264" t="str">
        <f t="shared" si="25"/>
        <v>KPI-263</v>
      </c>
      <c r="B264" s="2">
        <f>INDEX(Lotes!$B$2:$B$53,INT((ROW()-2)/6)+1)</f>
        <v>46396</v>
      </c>
      <c r="C264">
        <f>INDEX(Lotes!$C$2:$C$53,INT((ROW()-2)/6)+1)</f>
        <v>2</v>
      </c>
      <c r="D264" t="str">
        <f>INDEX(Lotes!$A$2:$A$53,INT((ROW()-2)/6)+1)</f>
        <v>RETEX-2024-044</v>
      </c>
      <c r="E264" t="str">
        <f>INDEX(Lotes!$D$2:$D$53,INT((ROW()-2)/6)+1)</f>
        <v>enero</v>
      </c>
      <c r="F264" t="s">
        <v>110</v>
      </c>
      <c r="G264" s="10">
        <v>2.39</v>
      </c>
      <c r="H264">
        <f t="shared" si="26"/>
        <v>3</v>
      </c>
      <c r="I264" t="str">
        <f t="shared" si="24"/>
        <v>%error</v>
      </c>
      <c r="J264" t="str">
        <f t="shared" si="27"/>
        <v>✅ OK</v>
      </c>
      <c r="K264" t="str">
        <f t="shared" si="28"/>
        <v>🟢 OK</v>
      </c>
      <c r="L264" t="str">
        <f t="shared" si="29"/>
        <v>Supervisor</v>
      </c>
    </row>
    <row r="265" spans="1:12" x14ac:dyDescent="0.3">
      <c r="A265" t="str">
        <f t="shared" si="25"/>
        <v>KPI-264</v>
      </c>
      <c r="B265" s="2">
        <f>INDEX(Lotes!$B$2:$B$53,INT((ROW()-2)/6)+1)</f>
        <v>46396</v>
      </c>
      <c r="C265">
        <f>INDEX(Lotes!$C$2:$C$53,INT((ROW()-2)/6)+1)</f>
        <v>2</v>
      </c>
      <c r="D265" t="str">
        <f>INDEX(Lotes!$A$2:$A$53,INT((ROW()-2)/6)+1)</f>
        <v>RETEX-2024-044</v>
      </c>
      <c r="E265" t="str">
        <f>INDEX(Lotes!$D$2:$D$53,INT((ROW()-2)/6)+1)</f>
        <v>enero</v>
      </c>
      <c r="F265" t="s">
        <v>111</v>
      </c>
      <c r="G265" s="10">
        <v>0.59</v>
      </c>
      <c r="H265">
        <f t="shared" si="26"/>
        <v>1</v>
      </c>
      <c r="I265" t="str">
        <f t="shared" si="24"/>
        <v>índice</v>
      </c>
      <c r="J265" t="str">
        <f t="shared" si="27"/>
        <v>❌ ALERTA</v>
      </c>
      <c r="K265" t="str">
        <f t="shared" si="28"/>
        <v>🔴 ALERTA</v>
      </c>
      <c r="L265" t="str">
        <f t="shared" si="29"/>
        <v>Ingeniero de Calidad</v>
      </c>
    </row>
    <row r="266" spans="1:12" x14ac:dyDescent="0.3">
      <c r="A266" t="str">
        <f t="shared" si="25"/>
        <v>KPI-265</v>
      </c>
      <c r="B266" s="2">
        <f>INDEX(Lotes!$B$2:$B$53,INT((ROW()-2)/6)+1)</f>
        <v>46403</v>
      </c>
      <c r="C266">
        <f>INDEX(Lotes!$C$2:$C$53,INT((ROW()-2)/6)+1)</f>
        <v>3</v>
      </c>
      <c r="D266" t="str">
        <f>INDEX(Lotes!$A$2:$A$53,INT((ROW()-2)/6)+1)</f>
        <v>RETEX-2024-045</v>
      </c>
      <c r="E266" t="str">
        <f>INDEX(Lotes!$D$2:$D$53,INT((ROW()-2)/6)+1)</f>
        <v>enero</v>
      </c>
      <c r="F266" t="s">
        <v>106</v>
      </c>
      <c r="G266" s="10">
        <v>96.77</v>
      </c>
      <c r="H266">
        <f t="shared" si="26"/>
        <v>96</v>
      </c>
      <c r="I266" t="str">
        <f t="shared" si="24"/>
        <v>%pureza</v>
      </c>
      <c r="J266" t="str">
        <f t="shared" si="27"/>
        <v>✅ OK</v>
      </c>
      <c r="K266" t="str">
        <f t="shared" si="28"/>
        <v>🟡 PRECAUCIÓN</v>
      </c>
      <c r="L266" t="str">
        <f t="shared" si="29"/>
        <v>Inspector de Calidad</v>
      </c>
    </row>
    <row r="267" spans="1:12" x14ac:dyDescent="0.3">
      <c r="A267" t="str">
        <f t="shared" si="25"/>
        <v>KPI-266</v>
      </c>
      <c r="B267" s="2">
        <f>INDEX(Lotes!$B$2:$B$53,INT((ROW()-2)/6)+1)</f>
        <v>46403</v>
      </c>
      <c r="C267">
        <f>INDEX(Lotes!$C$2:$C$53,INT((ROW()-2)/6)+1)</f>
        <v>3</v>
      </c>
      <c r="D267" t="str">
        <f>INDEX(Lotes!$A$2:$A$53,INT((ROW()-2)/6)+1)</f>
        <v>RETEX-2024-045</v>
      </c>
      <c r="E267" t="str">
        <f>INDEX(Lotes!$D$2:$D$53,INT((ROW()-2)/6)+1)</f>
        <v>enero</v>
      </c>
      <c r="F267" t="s">
        <v>107</v>
      </c>
      <c r="G267" s="10">
        <v>68.319999999999993</v>
      </c>
      <c r="H267">
        <f t="shared" si="26"/>
        <v>70</v>
      </c>
      <c r="I267" t="str">
        <f t="shared" si="24"/>
        <v>%rendimiento</v>
      </c>
      <c r="J267" t="str">
        <f t="shared" si="27"/>
        <v>❌ ALERTA</v>
      </c>
      <c r="K267" t="str">
        <f t="shared" si="28"/>
        <v>🔴 ALERTA</v>
      </c>
      <c r="L267" t="str">
        <f t="shared" si="29"/>
        <v>Coordinador de Planta</v>
      </c>
    </row>
    <row r="268" spans="1:12" x14ac:dyDescent="0.3">
      <c r="A268" t="str">
        <f t="shared" si="25"/>
        <v>KPI-267</v>
      </c>
      <c r="B268" s="2">
        <f>INDEX(Lotes!$B$2:$B$53,INT((ROW()-2)/6)+1)</f>
        <v>46403</v>
      </c>
      <c r="C268">
        <f>INDEX(Lotes!$C$2:$C$53,INT((ROW()-2)/6)+1)</f>
        <v>3</v>
      </c>
      <c r="D268" t="str">
        <f>INDEX(Lotes!$A$2:$A$53,INT((ROW()-2)/6)+1)</f>
        <v>RETEX-2024-045</v>
      </c>
      <c r="E268" t="str">
        <f>INDEX(Lotes!$D$2:$D$53,INT((ROW()-2)/6)+1)</f>
        <v>enero</v>
      </c>
      <c r="F268" t="s">
        <v>108</v>
      </c>
      <c r="G268" s="10">
        <v>5.88</v>
      </c>
      <c r="H268">
        <f t="shared" si="26"/>
        <v>8</v>
      </c>
      <c r="I268" t="str">
        <f t="shared" si="24"/>
        <v>%humedad</v>
      </c>
      <c r="J268" t="str">
        <f t="shared" si="27"/>
        <v>✅ OK</v>
      </c>
      <c r="K268" t="str">
        <f t="shared" si="28"/>
        <v>🟢 OK</v>
      </c>
      <c r="L268" t="str">
        <f t="shared" si="29"/>
        <v>Almacenista</v>
      </c>
    </row>
    <row r="269" spans="1:12" x14ac:dyDescent="0.3">
      <c r="A269" t="str">
        <f t="shared" si="25"/>
        <v>KPI-268</v>
      </c>
      <c r="B269" s="2">
        <f>INDEX(Lotes!$B$2:$B$53,INT((ROW()-2)/6)+1)</f>
        <v>46403</v>
      </c>
      <c r="C269">
        <f>INDEX(Lotes!$C$2:$C$53,INT((ROW()-2)/6)+1)</f>
        <v>3</v>
      </c>
      <c r="D269" t="str">
        <f>INDEX(Lotes!$A$2:$A$53,INT((ROW()-2)/6)+1)</f>
        <v>RETEX-2024-045</v>
      </c>
      <c r="E269" t="str">
        <f>INDEX(Lotes!$D$2:$D$53,INT((ROW()-2)/6)+1)</f>
        <v>enero</v>
      </c>
      <c r="F269" t="s">
        <v>109</v>
      </c>
      <c r="G269" s="10">
        <v>1.02</v>
      </c>
      <c r="H269">
        <f t="shared" si="26"/>
        <v>1</v>
      </c>
      <c r="I269" t="str">
        <f t="shared" si="24"/>
        <v>%retorno</v>
      </c>
      <c r="J269" t="str">
        <f t="shared" si="27"/>
        <v>❌ ALERTA</v>
      </c>
      <c r="K269" t="str">
        <f t="shared" si="28"/>
        <v>🔴 ALERTA</v>
      </c>
      <c r="L269" t="str">
        <f t="shared" si="29"/>
        <v>Gerente de Calidad</v>
      </c>
    </row>
    <row r="270" spans="1:12" x14ac:dyDescent="0.3">
      <c r="A270" t="str">
        <f t="shared" si="25"/>
        <v>KPI-269</v>
      </c>
      <c r="B270" s="2">
        <f>INDEX(Lotes!$B$2:$B$53,INT((ROW()-2)/6)+1)</f>
        <v>46403</v>
      </c>
      <c r="C270">
        <f>INDEX(Lotes!$C$2:$C$53,INT((ROW()-2)/6)+1)</f>
        <v>3</v>
      </c>
      <c r="D270" t="str">
        <f>INDEX(Lotes!$A$2:$A$53,INT((ROW()-2)/6)+1)</f>
        <v>RETEX-2024-045</v>
      </c>
      <c r="E270" t="str">
        <f>INDEX(Lotes!$D$2:$D$53,INT((ROW()-2)/6)+1)</f>
        <v>enero</v>
      </c>
      <c r="F270" t="s">
        <v>110</v>
      </c>
      <c r="G270" s="10">
        <v>4.45</v>
      </c>
      <c r="H270">
        <f t="shared" si="26"/>
        <v>3</v>
      </c>
      <c r="I270" t="str">
        <f t="shared" si="24"/>
        <v>%error</v>
      </c>
      <c r="J270" t="str">
        <f t="shared" si="27"/>
        <v>❌ ALERTA</v>
      </c>
      <c r="K270" t="str">
        <f t="shared" si="28"/>
        <v>🔴 ALERTA</v>
      </c>
      <c r="L270" t="str">
        <f t="shared" si="29"/>
        <v>Supervisor</v>
      </c>
    </row>
    <row r="271" spans="1:12" x14ac:dyDescent="0.3">
      <c r="A271" t="str">
        <f t="shared" si="25"/>
        <v>KPI-270</v>
      </c>
      <c r="B271" s="2">
        <f>INDEX(Lotes!$B$2:$B$53,INT((ROW()-2)/6)+1)</f>
        <v>46403</v>
      </c>
      <c r="C271">
        <f>INDEX(Lotes!$C$2:$C$53,INT((ROW()-2)/6)+1)</f>
        <v>3</v>
      </c>
      <c r="D271" t="str">
        <f>INDEX(Lotes!$A$2:$A$53,INT((ROW()-2)/6)+1)</f>
        <v>RETEX-2024-045</v>
      </c>
      <c r="E271" t="str">
        <f>INDEX(Lotes!$D$2:$D$53,INT((ROW()-2)/6)+1)</f>
        <v>enero</v>
      </c>
      <c r="F271" t="s">
        <v>111</v>
      </c>
      <c r="G271" s="10">
        <v>1.06</v>
      </c>
      <c r="H271">
        <f t="shared" si="26"/>
        <v>1</v>
      </c>
      <c r="I271" t="str">
        <f t="shared" si="24"/>
        <v>índice</v>
      </c>
      <c r="J271" t="str">
        <f t="shared" si="27"/>
        <v>✅ OK</v>
      </c>
      <c r="K271" t="str">
        <f t="shared" si="28"/>
        <v>🟢 OK</v>
      </c>
      <c r="L271" t="str">
        <f t="shared" si="29"/>
        <v>Ingeniero de Calidad</v>
      </c>
    </row>
    <row r="272" spans="1:12" x14ac:dyDescent="0.3">
      <c r="A272" t="str">
        <f t="shared" si="25"/>
        <v>KPI-271</v>
      </c>
      <c r="B272" s="2">
        <f>INDEX(Lotes!$B$2:$B$53,INT((ROW()-2)/6)+1)</f>
        <v>46410</v>
      </c>
      <c r="C272">
        <f>INDEX(Lotes!$C$2:$C$53,INT((ROW()-2)/6)+1)</f>
        <v>4</v>
      </c>
      <c r="D272" t="str">
        <f>INDEX(Lotes!$A$2:$A$53,INT((ROW()-2)/6)+1)</f>
        <v>RETEX-2024-046</v>
      </c>
      <c r="E272" t="str">
        <f>INDEX(Lotes!$D$2:$D$53,INT((ROW()-2)/6)+1)</f>
        <v>enero</v>
      </c>
      <c r="F272" t="s">
        <v>106</v>
      </c>
      <c r="G272" s="10">
        <v>98.46</v>
      </c>
      <c r="H272">
        <f t="shared" si="26"/>
        <v>96</v>
      </c>
      <c r="I272" t="str">
        <f t="shared" si="24"/>
        <v>%pureza</v>
      </c>
      <c r="J272" t="str">
        <f t="shared" si="27"/>
        <v>✅ OK</v>
      </c>
      <c r="K272" t="str">
        <f t="shared" si="28"/>
        <v>🟡 PRECAUCIÓN</v>
      </c>
      <c r="L272" t="str">
        <f t="shared" si="29"/>
        <v>Inspector de Calidad</v>
      </c>
    </row>
    <row r="273" spans="1:12" x14ac:dyDescent="0.3">
      <c r="A273" t="str">
        <f t="shared" si="25"/>
        <v>KPI-272</v>
      </c>
      <c r="B273" s="2">
        <f>INDEX(Lotes!$B$2:$B$53,INT((ROW()-2)/6)+1)</f>
        <v>46410</v>
      </c>
      <c r="C273">
        <f>INDEX(Lotes!$C$2:$C$53,INT((ROW()-2)/6)+1)</f>
        <v>4</v>
      </c>
      <c r="D273" t="str">
        <f>INDEX(Lotes!$A$2:$A$53,INT((ROW()-2)/6)+1)</f>
        <v>RETEX-2024-046</v>
      </c>
      <c r="E273" t="str">
        <f>INDEX(Lotes!$D$2:$D$53,INT((ROW()-2)/6)+1)</f>
        <v>enero</v>
      </c>
      <c r="F273" t="s">
        <v>107</v>
      </c>
      <c r="G273" s="10">
        <v>69.05</v>
      </c>
      <c r="H273">
        <f t="shared" si="26"/>
        <v>70</v>
      </c>
      <c r="I273" t="str">
        <f t="shared" si="24"/>
        <v>%rendimiento</v>
      </c>
      <c r="J273" t="str">
        <f t="shared" si="27"/>
        <v>❌ ALERTA</v>
      </c>
      <c r="K273" t="str">
        <f t="shared" si="28"/>
        <v>🔴 ALERTA</v>
      </c>
      <c r="L273" t="str">
        <f t="shared" si="29"/>
        <v>Coordinador de Planta</v>
      </c>
    </row>
    <row r="274" spans="1:12" x14ac:dyDescent="0.3">
      <c r="A274" t="str">
        <f t="shared" si="25"/>
        <v>KPI-273</v>
      </c>
      <c r="B274" s="2">
        <f>INDEX(Lotes!$B$2:$B$53,INT((ROW()-2)/6)+1)</f>
        <v>46410</v>
      </c>
      <c r="C274">
        <f>INDEX(Lotes!$C$2:$C$53,INT((ROW()-2)/6)+1)</f>
        <v>4</v>
      </c>
      <c r="D274" t="str">
        <f>INDEX(Lotes!$A$2:$A$53,INT((ROW()-2)/6)+1)</f>
        <v>RETEX-2024-046</v>
      </c>
      <c r="E274" t="str">
        <f>INDEX(Lotes!$D$2:$D$53,INT((ROW()-2)/6)+1)</f>
        <v>enero</v>
      </c>
      <c r="F274" t="s">
        <v>108</v>
      </c>
      <c r="G274" s="10">
        <v>6.44</v>
      </c>
      <c r="H274">
        <f t="shared" si="26"/>
        <v>8</v>
      </c>
      <c r="I274" t="str">
        <f t="shared" si="24"/>
        <v>%humedad</v>
      </c>
      <c r="J274" t="str">
        <f t="shared" si="27"/>
        <v>✅ OK</v>
      </c>
      <c r="K274" t="str">
        <f t="shared" si="28"/>
        <v>🟢 OK</v>
      </c>
      <c r="L274" t="str">
        <f t="shared" si="29"/>
        <v>Almacenista</v>
      </c>
    </row>
    <row r="275" spans="1:12" x14ac:dyDescent="0.3">
      <c r="A275" t="str">
        <f t="shared" si="25"/>
        <v>KPI-274</v>
      </c>
      <c r="B275" s="2">
        <f>INDEX(Lotes!$B$2:$B$53,INT((ROW()-2)/6)+1)</f>
        <v>46410</v>
      </c>
      <c r="C275">
        <f>INDEX(Lotes!$C$2:$C$53,INT((ROW()-2)/6)+1)</f>
        <v>4</v>
      </c>
      <c r="D275" t="str">
        <f>INDEX(Lotes!$A$2:$A$53,INT((ROW()-2)/6)+1)</f>
        <v>RETEX-2024-046</v>
      </c>
      <c r="E275" t="str">
        <f>INDEX(Lotes!$D$2:$D$53,INT((ROW()-2)/6)+1)</f>
        <v>enero</v>
      </c>
      <c r="F275" t="s">
        <v>109</v>
      </c>
      <c r="G275" s="10">
        <v>1.17</v>
      </c>
      <c r="H275">
        <f t="shared" si="26"/>
        <v>1</v>
      </c>
      <c r="I275" t="str">
        <f t="shared" si="24"/>
        <v>%retorno</v>
      </c>
      <c r="J275" t="str">
        <f t="shared" si="27"/>
        <v>❌ ALERTA</v>
      </c>
      <c r="K275" t="str">
        <f t="shared" si="28"/>
        <v>🔴 ALERTA</v>
      </c>
      <c r="L275" t="str">
        <f t="shared" si="29"/>
        <v>Gerente de Calidad</v>
      </c>
    </row>
    <row r="276" spans="1:12" x14ac:dyDescent="0.3">
      <c r="A276" t="str">
        <f t="shared" si="25"/>
        <v>KPI-275</v>
      </c>
      <c r="B276" s="2">
        <f>INDEX(Lotes!$B$2:$B$53,INT((ROW()-2)/6)+1)</f>
        <v>46410</v>
      </c>
      <c r="C276">
        <f>INDEX(Lotes!$C$2:$C$53,INT((ROW()-2)/6)+1)</f>
        <v>4</v>
      </c>
      <c r="D276" t="str">
        <f>INDEX(Lotes!$A$2:$A$53,INT((ROW()-2)/6)+1)</f>
        <v>RETEX-2024-046</v>
      </c>
      <c r="E276" t="str">
        <f>INDEX(Lotes!$D$2:$D$53,INT((ROW()-2)/6)+1)</f>
        <v>enero</v>
      </c>
      <c r="F276" t="s">
        <v>110</v>
      </c>
      <c r="G276" s="10">
        <v>2.99</v>
      </c>
      <c r="H276">
        <f t="shared" si="26"/>
        <v>3</v>
      </c>
      <c r="I276" t="str">
        <f t="shared" si="24"/>
        <v>%error</v>
      </c>
      <c r="J276" t="str">
        <f t="shared" si="27"/>
        <v>✅ OK</v>
      </c>
      <c r="K276" t="str">
        <f t="shared" si="28"/>
        <v>🟡 PRECAUCIÓN</v>
      </c>
      <c r="L276" t="str">
        <f t="shared" si="29"/>
        <v>Supervisor</v>
      </c>
    </row>
    <row r="277" spans="1:12" x14ac:dyDescent="0.3">
      <c r="A277" t="str">
        <f t="shared" si="25"/>
        <v>KPI-276</v>
      </c>
      <c r="B277" s="2">
        <f>INDEX(Lotes!$B$2:$B$53,INT((ROW()-2)/6)+1)</f>
        <v>46410</v>
      </c>
      <c r="C277">
        <f>INDEX(Lotes!$C$2:$C$53,INT((ROW()-2)/6)+1)</f>
        <v>4</v>
      </c>
      <c r="D277" t="str">
        <f>INDEX(Lotes!$A$2:$A$53,INT((ROW()-2)/6)+1)</f>
        <v>RETEX-2024-046</v>
      </c>
      <c r="E277" t="str">
        <f>INDEX(Lotes!$D$2:$D$53,INT((ROW()-2)/6)+1)</f>
        <v>enero</v>
      </c>
      <c r="F277" t="s">
        <v>111</v>
      </c>
      <c r="G277" s="10">
        <v>1.08</v>
      </c>
      <c r="H277">
        <f t="shared" si="26"/>
        <v>1</v>
      </c>
      <c r="I277" t="str">
        <f t="shared" si="24"/>
        <v>índice</v>
      </c>
      <c r="J277" t="str">
        <f t="shared" si="27"/>
        <v>✅ OK</v>
      </c>
      <c r="K277" t="str">
        <f t="shared" si="28"/>
        <v>🟢 OK</v>
      </c>
      <c r="L277" t="str">
        <f t="shared" si="29"/>
        <v>Ingeniero de Calidad</v>
      </c>
    </row>
    <row r="278" spans="1:12" x14ac:dyDescent="0.3">
      <c r="A278" t="str">
        <f t="shared" si="25"/>
        <v>KPI-277</v>
      </c>
      <c r="B278" s="2">
        <f>INDEX(Lotes!$B$2:$B$53,INT((ROW()-2)/6)+1)</f>
        <v>46417</v>
      </c>
      <c r="C278">
        <f>INDEX(Lotes!$C$2:$C$53,INT((ROW()-2)/6)+1)</f>
        <v>5</v>
      </c>
      <c r="D278" t="str">
        <f>INDEX(Lotes!$A$2:$A$53,INT((ROW()-2)/6)+1)</f>
        <v>RETEX-2024-047</v>
      </c>
      <c r="E278" t="str">
        <f>INDEX(Lotes!$D$2:$D$53,INT((ROW()-2)/6)+1)</f>
        <v>enero</v>
      </c>
      <c r="F278" t="s">
        <v>106</v>
      </c>
      <c r="G278" s="10">
        <v>97.02</v>
      </c>
      <c r="H278">
        <f t="shared" si="26"/>
        <v>96</v>
      </c>
      <c r="I278" t="str">
        <f t="shared" si="24"/>
        <v>%pureza</v>
      </c>
      <c r="J278" t="str">
        <f t="shared" si="27"/>
        <v>✅ OK</v>
      </c>
      <c r="K278" t="str">
        <f t="shared" si="28"/>
        <v>🟡 PRECAUCIÓN</v>
      </c>
      <c r="L278" t="str">
        <f t="shared" si="29"/>
        <v>Inspector de Calidad</v>
      </c>
    </row>
    <row r="279" spans="1:12" x14ac:dyDescent="0.3">
      <c r="A279" t="str">
        <f t="shared" si="25"/>
        <v>KPI-278</v>
      </c>
      <c r="B279" s="2">
        <f>INDEX(Lotes!$B$2:$B$53,INT((ROW()-2)/6)+1)</f>
        <v>46417</v>
      </c>
      <c r="C279">
        <f>INDEX(Lotes!$C$2:$C$53,INT((ROW()-2)/6)+1)</f>
        <v>5</v>
      </c>
      <c r="D279" t="str">
        <f>INDEX(Lotes!$A$2:$A$53,INT((ROW()-2)/6)+1)</f>
        <v>RETEX-2024-047</v>
      </c>
      <c r="E279" t="str">
        <f>INDEX(Lotes!$D$2:$D$53,INT((ROW()-2)/6)+1)</f>
        <v>enero</v>
      </c>
      <c r="F279" t="s">
        <v>107</v>
      </c>
      <c r="G279" s="10">
        <v>77.33</v>
      </c>
      <c r="H279">
        <f t="shared" si="26"/>
        <v>70</v>
      </c>
      <c r="I279" t="str">
        <f t="shared" si="24"/>
        <v>%rendimiento</v>
      </c>
      <c r="J279" t="str">
        <f t="shared" si="27"/>
        <v>✅ OK</v>
      </c>
      <c r="K279" t="str">
        <f t="shared" si="28"/>
        <v>🟢 OK</v>
      </c>
      <c r="L279" t="str">
        <f t="shared" si="29"/>
        <v>Coordinador de Planta</v>
      </c>
    </row>
    <row r="280" spans="1:12" x14ac:dyDescent="0.3">
      <c r="A280" t="str">
        <f t="shared" si="25"/>
        <v>KPI-279</v>
      </c>
      <c r="B280" s="2">
        <f>INDEX(Lotes!$B$2:$B$53,INT((ROW()-2)/6)+1)</f>
        <v>46417</v>
      </c>
      <c r="C280">
        <f>INDEX(Lotes!$C$2:$C$53,INT((ROW()-2)/6)+1)</f>
        <v>5</v>
      </c>
      <c r="D280" t="str">
        <f>INDEX(Lotes!$A$2:$A$53,INT((ROW()-2)/6)+1)</f>
        <v>RETEX-2024-047</v>
      </c>
      <c r="E280" t="str">
        <f>INDEX(Lotes!$D$2:$D$53,INT((ROW()-2)/6)+1)</f>
        <v>enero</v>
      </c>
      <c r="F280" t="s">
        <v>108</v>
      </c>
      <c r="G280" s="10">
        <v>6.87</v>
      </c>
      <c r="H280">
        <f t="shared" si="26"/>
        <v>8</v>
      </c>
      <c r="I280" t="str">
        <f t="shared" si="24"/>
        <v>%humedad</v>
      </c>
      <c r="J280" t="str">
        <f t="shared" si="27"/>
        <v>✅ OK</v>
      </c>
      <c r="K280" t="str">
        <f t="shared" si="28"/>
        <v>🟡 PRECAUCIÓN</v>
      </c>
      <c r="L280" t="str">
        <f t="shared" si="29"/>
        <v>Almacenista</v>
      </c>
    </row>
    <row r="281" spans="1:12" x14ac:dyDescent="0.3">
      <c r="A281" t="str">
        <f t="shared" si="25"/>
        <v>KPI-280</v>
      </c>
      <c r="B281" s="2">
        <f>INDEX(Lotes!$B$2:$B$53,INT((ROW()-2)/6)+1)</f>
        <v>46417</v>
      </c>
      <c r="C281">
        <f>INDEX(Lotes!$C$2:$C$53,INT((ROW()-2)/6)+1)</f>
        <v>5</v>
      </c>
      <c r="D281" t="str">
        <f>INDEX(Lotes!$A$2:$A$53,INT((ROW()-2)/6)+1)</f>
        <v>RETEX-2024-047</v>
      </c>
      <c r="E281" t="str">
        <f>INDEX(Lotes!$D$2:$D$53,INT((ROW()-2)/6)+1)</f>
        <v>enero</v>
      </c>
      <c r="F281" t="s">
        <v>109</v>
      </c>
      <c r="G281" s="10">
        <v>0.76</v>
      </c>
      <c r="H281">
        <f t="shared" si="26"/>
        <v>1</v>
      </c>
      <c r="I281" t="str">
        <f t="shared" si="24"/>
        <v>%retorno</v>
      </c>
      <c r="J281" t="str">
        <f t="shared" si="27"/>
        <v>✅ OK</v>
      </c>
      <c r="K281" t="str">
        <f t="shared" si="28"/>
        <v>🟢 OK</v>
      </c>
      <c r="L281" t="str">
        <f t="shared" si="29"/>
        <v>Gerente de Calidad</v>
      </c>
    </row>
    <row r="282" spans="1:12" x14ac:dyDescent="0.3">
      <c r="A282" t="str">
        <f t="shared" si="25"/>
        <v>KPI-281</v>
      </c>
      <c r="B282" s="2">
        <f>INDEX(Lotes!$B$2:$B$53,INT((ROW()-2)/6)+1)</f>
        <v>46417</v>
      </c>
      <c r="C282">
        <f>INDEX(Lotes!$C$2:$C$53,INT((ROW()-2)/6)+1)</f>
        <v>5</v>
      </c>
      <c r="D282" t="str">
        <f>INDEX(Lotes!$A$2:$A$53,INT((ROW()-2)/6)+1)</f>
        <v>RETEX-2024-047</v>
      </c>
      <c r="E282" t="str">
        <f>INDEX(Lotes!$D$2:$D$53,INT((ROW()-2)/6)+1)</f>
        <v>enero</v>
      </c>
      <c r="F282" t="s">
        <v>110</v>
      </c>
      <c r="G282" s="10">
        <v>2.5099999999999998</v>
      </c>
      <c r="H282">
        <f t="shared" si="26"/>
        <v>3</v>
      </c>
      <c r="I282" t="str">
        <f t="shared" si="24"/>
        <v>%error</v>
      </c>
      <c r="J282" t="str">
        <f t="shared" si="27"/>
        <v>✅ OK</v>
      </c>
      <c r="K282" t="str">
        <f t="shared" si="28"/>
        <v>🟢 OK</v>
      </c>
      <c r="L282" t="str">
        <f t="shared" si="29"/>
        <v>Supervisor</v>
      </c>
    </row>
    <row r="283" spans="1:12" x14ac:dyDescent="0.3">
      <c r="A283" t="str">
        <f t="shared" si="25"/>
        <v>KPI-282</v>
      </c>
      <c r="B283" s="2">
        <f>INDEX(Lotes!$B$2:$B$53,INT((ROW()-2)/6)+1)</f>
        <v>46417</v>
      </c>
      <c r="C283">
        <f>INDEX(Lotes!$C$2:$C$53,INT((ROW()-2)/6)+1)</f>
        <v>5</v>
      </c>
      <c r="D283" t="str">
        <f>INDEX(Lotes!$A$2:$A$53,INT((ROW()-2)/6)+1)</f>
        <v>RETEX-2024-047</v>
      </c>
      <c r="E283" t="str">
        <f>INDEX(Lotes!$D$2:$D$53,INT((ROW()-2)/6)+1)</f>
        <v>enero</v>
      </c>
      <c r="F283" t="s">
        <v>111</v>
      </c>
      <c r="G283" s="10">
        <v>0.88</v>
      </c>
      <c r="H283">
        <f t="shared" si="26"/>
        <v>1</v>
      </c>
      <c r="I283" t="str">
        <f t="shared" si="24"/>
        <v>índice</v>
      </c>
      <c r="J283" t="str">
        <f t="shared" si="27"/>
        <v>❌ ALERTA</v>
      </c>
      <c r="K283" t="str">
        <f t="shared" si="28"/>
        <v>🔴 ALERTA</v>
      </c>
      <c r="L283" t="str">
        <f t="shared" si="29"/>
        <v>Ingeniero de Calidad</v>
      </c>
    </row>
    <row r="284" spans="1:12" x14ac:dyDescent="0.3">
      <c r="A284" t="str">
        <f t="shared" si="25"/>
        <v>KPI-283</v>
      </c>
      <c r="B284" s="2">
        <f>INDEX(Lotes!$B$2:$B$53,INT((ROW()-2)/6)+1)</f>
        <v>46424</v>
      </c>
      <c r="C284">
        <f>INDEX(Lotes!$C$2:$C$53,INT((ROW()-2)/6)+1)</f>
        <v>6</v>
      </c>
      <c r="D284" t="str">
        <f>INDEX(Lotes!$A$2:$A$53,INT((ROW()-2)/6)+1)</f>
        <v>RETEX-2024-048</v>
      </c>
      <c r="E284" t="str">
        <f>INDEX(Lotes!$D$2:$D$53,INT((ROW()-2)/6)+1)</f>
        <v>febrero</v>
      </c>
      <c r="F284" t="s">
        <v>106</v>
      </c>
      <c r="G284" s="10">
        <v>97.57</v>
      </c>
      <c r="H284">
        <f t="shared" si="26"/>
        <v>96</v>
      </c>
      <c r="I284" t="str">
        <f t="shared" si="24"/>
        <v>%pureza</v>
      </c>
      <c r="J284" t="str">
        <f t="shared" si="27"/>
        <v>✅ OK</v>
      </c>
      <c r="K284" t="str">
        <f t="shared" si="28"/>
        <v>🟡 PRECAUCIÓN</v>
      </c>
      <c r="L284" t="str">
        <f t="shared" si="29"/>
        <v>Inspector de Calidad</v>
      </c>
    </row>
    <row r="285" spans="1:12" x14ac:dyDescent="0.3">
      <c r="A285" t="str">
        <f t="shared" si="25"/>
        <v>KPI-284</v>
      </c>
      <c r="B285" s="2">
        <f>INDEX(Lotes!$B$2:$B$53,INT((ROW()-2)/6)+1)</f>
        <v>46424</v>
      </c>
      <c r="C285">
        <f>INDEX(Lotes!$C$2:$C$53,INT((ROW()-2)/6)+1)</f>
        <v>6</v>
      </c>
      <c r="D285" t="str">
        <f>INDEX(Lotes!$A$2:$A$53,INT((ROW()-2)/6)+1)</f>
        <v>RETEX-2024-048</v>
      </c>
      <c r="E285" t="str">
        <f>INDEX(Lotes!$D$2:$D$53,INT((ROW()-2)/6)+1)</f>
        <v>febrero</v>
      </c>
      <c r="F285" t="s">
        <v>107</v>
      </c>
      <c r="G285" s="10">
        <v>69.349999999999994</v>
      </c>
      <c r="H285">
        <f t="shared" si="26"/>
        <v>70</v>
      </c>
      <c r="I285" t="str">
        <f t="shared" si="24"/>
        <v>%rendimiento</v>
      </c>
      <c r="J285" t="str">
        <f t="shared" si="27"/>
        <v>❌ ALERTA</v>
      </c>
      <c r="K285" t="str">
        <f t="shared" si="28"/>
        <v>🔴 ALERTA</v>
      </c>
      <c r="L285" t="str">
        <f t="shared" si="29"/>
        <v>Coordinador de Planta</v>
      </c>
    </row>
    <row r="286" spans="1:12" x14ac:dyDescent="0.3">
      <c r="A286" t="str">
        <f t="shared" si="25"/>
        <v>KPI-285</v>
      </c>
      <c r="B286" s="2">
        <f>INDEX(Lotes!$B$2:$B$53,INT((ROW()-2)/6)+1)</f>
        <v>46424</v>
      </c>
      <c r="C286">
        <f>INDEX(Lotes!$C$2:$C$53,INT((ROW()-2)/6)+1)</f>
        <v>6</v>
      </c>
      <c r="D286" t="str">
        <f>INDEX(Lotes!$A$2:$A$53,INT((ROW()-2)/6)+1)</f>
        <v>RETEX-2024-048</v>
      </c>
      <c r="E286" t="str">
        <f>INDEX(Lotes!$D$2:$D$53,INT((ROW()-2)/6)+1)</f>
        <v>febrero</v>
      </c>
      <c r="F286" t="s">
        <v>108</v>
      </c>
      <c r="G286" s="10">
        <v>6.3</v>
      </c>
      <c r="H286">
        <f t="shared" si="26"/>
        <v>8</v>
      </c>
      <c r="I286" t="str">
        <f t="shared" si="24"/>
        <v>%humedad</v>
      </c>
      <c r="J286" t="str">
        <f t="shared" si="27"/>
        <v>✅ OK</v>
      </c>
      <c r="K286" t="str">
        <f t="shared" si="28"/>
        <v>🟢 OK</v>
      </c>
      <c r="L286" t="str">
        <f t="shared" si="29"/>
        <v>Almacenista</v>
      </c>
    </row>
    <row r="287" spans="1:12" x14ac:dyDescent="0.3">
      <c r="A287" t="str">
        <f t="shared" si="25"/>
        <v>KPI-286</v>
      </c>
      <c r="B287" s="2">
        <f>INDEX(Lotes!$B$2:$B$53,INT((ROW()-2)/6)+1)</f>
        <v>46424</v>
      </c>
      <c r="C287">
        <f>INDEX(Lotes!$C$2:$C$53,INT((ROW()-2)/6)+1)</f>
        <v>6</v>
      </c>
      <c r="D287" t="str">
        <f>INDEX(Lotes!$A$2:$A$53,INT((ROW()-2)/6)+1)</f>
        <v>RETEX-2024-048</v>
      </c>
      <c r="E287" t="str">
        <f>INDEX(Lotes!$D$2:$D$53,INT((ROW()-2)/6)+1)</f>
        <v>febrero</v>
      </c>
      <c r="F287" t="s">
        <v>109</v>
      </c>
      <c r="G287" s="10">
        <v>1.47</v>
      </c>
      <c r="H287">
        <f t="shared" si="26"/>
        <v>1</v>
      </c>
      <c r="I287" t="str">
        <f t="shared" si="24"/>
        <v>%retorno</v>
      </c>
      <c r="J287" t="str">
        <f t="shared" si="27"/>
        <v>❌ ALERTA</v>
      </c>
      <c r="K287" t="str">
        <f t="shared" si="28"/>
        <v>🔴 ALERTA</v>
      </c>
      <c r="L287" t="str">
        <f t="shared" si="29"/>
        <v>Gerente de Calidad</v>
      </c>
    </row>
    <row r="288" spans="1:12" x14ac:dyDescent="0.3">
      <c r="A288" t="str">
        <f t="shared" si="25"/>
        <v>KPI-287</v>
      </c>
      <c r="B288" s="2">
        <f>INDEX(Lotes!$B$2:$B$53,INT((ROW()-2)/6)+1)</f>
        <v>46424</v>
      </c>
      <c r="C288">
        <f>INDEX(Lotes!$C$2:$C$53,INT((ROW()-2)/6)+1)</f>
        <v>6</v>
      </c>
      <c r="D288" t="str">
        <f>INDEX(Lotes!$A$2:$A$53,INT((ROW()-2)/6)+1)</f>
        <v>RETEX-2024-048</v>
      </c>
      <c r="E288" t="str">
        <f>INDEX(Lotes!$D$2:$D$53,INT((ROW()-2)/6)+1)</f>
        <v>febrero</v>
      </c>
      <c r="F288" t="s">
        <v>110</v>
      </c>
      <c r="G288" s="10">
        <v>2.91</v>
      </c>
      <c r="H288">
        <f t="shared" si="26"/>
        <v>3</v>
      </c>
      <c r="I288" t="str">
        <f t="shared" si="24"/>
        <v>%error</v>
      </c>
      <c r="J288" t="str">
        <f t="shared" si="27"/>
        <v>✅ OK</v>
      </c>
      <c r="K288" t="str">
        <f t="shared" si="28"/>
        <v>🟡 PRECAUCIÓN</v>
      </c>
      <c r="L288" t="str">
        <f t="shared" si="29"/>
        <v>Supervisor</v>
      </c>
    </row>
    <row r="289" spans="1:12" x14ac:dyDescent="0.3">
      <c r="A289" t="str">
        <f t="shared" si="25"/>
        <v>KPI-288</v>
      </c>
      <c r="B289" s="2">
        <f>INDEX(Lotes!$B$2:$B$53,INT((ROW()-2)/6)+1)</f>
        <v>46424</v>
      </c>
      <c r="C289">
        <f>INDEX(Lotes!$C$2:$C$53,INT((ROW()-2)/6)+1)</f>
        <v>6</v>
      </c>
      <c r="D289" t="str">
        <f>INDEX(Lotes!$A$2:$A$53,INT((ROW()-2)/6)+1)</f>
        <v>RETEX-2024-048</v>
      </c>
      <c r="E289" t="str">
        <f>INDEX(Lotes!$D$2:$D$53,INT((ROW()-2)/6)+1)</f>
        <v>febrero</v>
      </c>
      <c r="F289" t="s">
        <v>111</v>
      </c>
      <c r="G289" s="10">
        <v>0.88</v>
      </c>
      <c r="H289">
        <f t="shared" si="26"/>
        <v>1</v>
      </c>
      <c r="I289" t="str">
        <f t="shared" si="24"/>
        <v>índice</v>
      </c>
      <c r="J289" t="str">
        <f t="shared" si="27"/>
        <v>❌ ALERTA</v>
      </c>
      <c r="K289" t="str">
        <f t="shared" si="28"/>
        <v>🔴 ALERTA</v>
      </c>
      <c r="L289" t="str">
        <f t="shared" si="29"/>
        <v>Ingeniero de Calidad</v>
      </c>
    </row>
    <row r="290" spans="1:12" x14ac:dyDescent="0.3">
      <c r="A290" t="str">
        <f t="shared" si="25"/>
        <v>KPI-289</v>
      </c>
      <c r="B290" s="2">
        <f>INDEX(Lotes!$B$2:$B$53,INT((ROW()-2)/6)+1)</f>
        <v>46431</v>
      </c>
      <c r="C290">
        <f>INDEX(Lotes!$C$2:$C$53,INT((ROW()-2)/6)+1)</f>
        <v>7</v>
      </c>
      <c r="D290" t="str">
        <f>INDEX(Lotes!$A$2:$A$53,INT((ROW()-2)/6)+1)</f>
        <v>RETEX-2024-049</v>
      </c>
      <c r="E290" t="str">
        <f>INDEX(Lotes!$D$2:$D$53,INT((ROW()-2)/6)+1)</f>
        <v>febrero</v>
      </c>
      <c r="F290" t="s">
        <v>106</v>
      </c>
      <c r="G290" s="10">
        <v>98.46</v>
      </c>
      <c r="H290">
        <f t="shared" si="26"/>
        <v>96</v>
      </c>
      <c r="I290" t="str">
        <f t="shared" si="24"/>
        <v>%pureza</v>
      </c>
      <c r="J290" t="str">
        <f t="shared" si="27"/>
        <v>✅ OK</v>
      </c>
      <c r="K290" t="str">
        <f t="shared" si="28"/>
        <v>🟡 PRECAUCIÓN</v>
      </c>
      <c r="L290" t="str">
        <f t="shared" si="29"/>
        <v>Inspector de Calidad</v>
      </c>
    </row>
    <row r="291" spans="1:12" x14ac:dyDescent="0.3">
      <c r="A291" t="str">
        <f t="shared" si="25"/>
        <v>KPI-290</v>
      </c>
      <c r="B291" s="2">
        <f>INDEX(Lotes!$B$2:$B$53,INT((ROW()-2)/6)+1)</f>
        <v>46431</v>
      </c>
      <c r="C291">
        <f>INDEX(Lotes!$C$2:$C$53,INT((ROW()-2)/6)+1)</f>
        <v>7</v>
      </c>
      <c r="D291" t="str">
        <f>INDEX(Lotes!$A$2:$A$53,INT((ROW()-2)/6)+1)</f>
        <v>RETEX-2024-049</v>
      </c>
      <c r="E291" t="str">
        <f>INDEX(Lotes!$D$2:$D$53,INT((ROW()-2)/6)+1)</f>
        <v>febrero</v>
      </c>
      <c r="F291" t="s">
        <v>107</v>
      </c>
      <c r="G291" s="10">
        <v>76.319999999999993</v>
      </c>
      <c r="H291">
        <f t="shared" si="26"/>
        <v>70</v>
      </c>
      <c r="I291" t="str">
        <f t="shared" si="24"/>
        <v>%rendimiento</v>
      </c>
      <c r="J291" t="str">
        <f t="shared" si="27"/>
        <v>✅ OK</v>
      </c>
      <c r="K291" t="str">
        <f t="shared" si="28"/>
        <v>🟢 OK</v>
      </c>
      <c r="L291" t="str">
        <f t="shared" si="29"/>
        <v>Coordinador de Planta</v>
      </c>
    </row>
    <row r="292" spans="1:12" x14ac:dyDescent="0.3">
      <c r="A292" t="str">
        <f t="shared" si="25"/>
        <v>KPI-291</v>
      </c>
      <c r="B292" s="2">
        <f>INDEX(Lotes!$B$2:$B$53,INT((ROW()-2)/6)+1)</f>
        <v>46431</v>
      </c>
      <c r="C292">
        <f>INDEX(Lotes!$C$2:$C$53,INT((ROW()-2)/6)+1)</f>
        <v>7</v>
      </c>
      <c r="D292" t="str">
        <f>INDEX(Lotes!$A$2:$A$53,INT((ROW()-2)/6)+1)</f>
        <v>RETEX-2024-049</v>
      </c>
      <c r="E292" t="str">
        <f>INDEX(Lotes!$D$2:$D$53,INT((ROW()-2)/6)+1)</f>
        <v>febrero</v>
      </c>
      <c r="F292" t="s">
        <v>108</v>
      </c>
      <c r="G292" s="10">
        <v>7.09</v>
      </c>
      <c r="H292">
        <f t="shared" si="26"/>
        <v>8</v>
      </c>
      <c r="I292" t="str">
        <f t="shared" si="24"/>
        <v>%humedad</v>
      </c>
      <c r="J292" t="str">
        <f t="shared" si="27"/>
        <v>✅ OK</v>
      </c>
      <c r="K292" t="str">
        <f t="shared" si="28"/>
        <v>🟡 PRECAUCIÓN</v>
      </c>
      <c r="L292" t="str">
        <f t="shared" si="29"/>
        <v>Almacenista</v>
      </c>
    </row>
    <row r="293" spans="1:12" x14ac:dyDescent="0.3">
      <c r="A293" t="str">
        <f t="shared" si="25"/>
        <v>KPI-292</v>
      </c>
      <c r="B293" s="2">
        <f>INDEX(Lotes!$B$2:$B$53,INT((ROW()-2)/6)+1)</f>
        <v>46431</v>
      </c>
      <c r="C293">
        <f>INDEX(Lotes!$C$2:$C$53,INT((ROW()-2)/6)+1)</f>
        <v>7</v>
      </c>
      <c r="D293" t="str">
        <f>INDEX(Lotes!$A$2:$A$53,INT((ROW()-2)/6)+1)</f>
        <v>RETEX-2024-049</v>
      </c>
      <c r="E293" t="str">
        <f>INDEX(Lotes!$D$2:$D$53,INT((ROW()-2)/6)+1)</f>
        <v>febrero</v>
      </c>
      <c r="F293" t="s">
        <v>109</v>
      </c>
      <c r="G293" s="10">
        <v>1.18</v>
      </c>
      <c r="H293">
        <f t="shared" si="26"/>
        <v>1</v>
      </c>
      <c r="I293" t="str">
        <f t="shared" si="24"/>
        <v>%retorno</v>
      </c>
      <c r="J293" t="str">
        <f t="shared" si="27"/>
        <v>❌ ALERTA</v>
      </c>
      <c r="K293" t="str">
        <f t="shared" si="28"/>
        <v>🔴 ALERTA</v>
      </c>
      <c r="L293" t="str">
        <f t="shared" si="29"/>
        <v>Gerente de Calidad</v>
      </c>
    </row>
    <row r="294" spans="1:12" x14ac:dyDescent="0.3">
      <c r="A294" t="str">
        <f t="shared" si="25"/>
        <v>KPI-293</v>
      </c>
      <c r="B294" s="2">
        <f>INDEX(Lotes!$B$2:$B$53,INT((ROW()-2)/6)+1)</f>
        <v>46431</v>
      </c>
      <c r="C294">
        <f>INDEX(Lotes!$C$2:$C$53,INT((ROW()-2)/6)+1)</f>
        <v>7</v>
      </c>
      <c r="D294" t="str">
        <f>INDEX(Lotes!$A$2:$A$53,INT((ROW()-2)/6)+1)</f>
        <v>RETEX-2024-049</v>
      </c>
      <c r="E294" t="str">
        <f>INDEX(Lotes!$D$2:$D$53,INT((ROW()-2)/6)+1)</f>
        <v>febrero</v>
      </c>
      <c r="F294" t="s">
        <v>110</v>
      </c>
      <c r="G294" s="10">
        <v>1.1299999999999999</v>
      </c>
      <c r="H294">
        <f t="shared" si="26"/>
        <v>3</v>
      </c>
      <c r="I294" t="str">
        <f t="shared" si="24"/>
        <v>%error</v>
      </c>
      <c r="J294" t="str">
        <f t="shared" si="27"/>
        <v>✅ OK</v>
      </c>
      <c r="K294" t="str">
        <f t="shared" si="28"/>
        <v>🟢 OK</v>
      </c>
      <c r="L294" t="str">
        <f t="shared" si="29"/>
        <v>Supervisor</v>
      </c>
    </row>
    <row r="295" spans="1:12" x14ac:dyDescent="0.3">
      <c r="A295" t="str">
        <f t="shared" si="25"/>
        <v>KPI-294</v>
      </c>
      <c r="B295" s="2">
        <f>INDEX(Lotes!$B$2:$B$53,INT((ROW()-2)/6)+1)</f>
        <v>46431</v>
      </c>
      <c r="C295">
        <f>INDEX(Lotes!$C$2:$C$53,INT((ROW()-2)/6)+1)</f>
        <v>7</v>
      </c>
      <c r="D295" t="str">
        <f>INDEX(Lotes!$A$2:$A$53,INT((ROW()-2)/6)+1)</f>
        <v>RETEX-2024-049</v>
      </c>
      <c r="E295" t="str">
        <f>INDEX(Lotes!$D$2:$D$53,INT((ROW()-2)/6)+1)</f>
        <v>febrero</v>
      </c>
      <c r="F295" t="s">
        <v>111</v>
      </c>
      <c r="G295" s="10">
        <v>0.89</v>
      </c>
      <c r="H295">
        <f t="shared" si="26"/>
        <v>1</v>
      </c>
      <c r="I295" t="str">
        <f t="shared" si="24"/>
        <v>índice</v>
      </c>
      <c r="J295" t="str">
        <f t="shared" si="27"/>
        <v>❌ ALERTA</v>
      </c>
      <c r="K295" t="str">
        <f t="shared" si="28"/>
        <v>🔴 ALERTA</v>
      </c>
      <c r="L295" t="str">
        <f t="shared" si="29"/>
        <v>Ingeniero de Calidad</v>
      </c>
    </row>
    <row r="296" spans="1:12" x14ac:dyDescent="0.3">
      <c r="A296" t="str">
        <f t="shared" si="25"/>
        <v>KPI-295</v>
      </c>
      <c r="B296" s="2">
        <f>INDEX(Lotes!$B$2:$B$53,INT((ROW()-2)/6)+1)</f>
        <v>46438</v>
      </c>
      <c r="C296">
        <f>INDEX(Lotes!$C$2:$C$53,INT((ROW()-2)/6)+1)</f>
        <v>8</v>
      </c>
      <c r="D296" t="str">
        <f>INDEX(Lotes!$A$2:$A$53,INT((ROW()-2)/6)+1)</f>
        <v>RETEX-2024-050</v>
      </c>
      <c r="E296" t="str">
        <f>INDEX(Lotes!$D$2:$D$53,INT((ROW()-2)/6)+1)</f>
        <v>febrero</v>
      </c>
      <c r="F296" t="s">
        <v>106</v>
      </c>
      <c r="G296" s="10">
        <v>96.92</v>
      </c>
      <c r="H296">
        <f t="shared" si="26"/>
        <v>96</v>
      </c>
      <c r="I296" t="str">
        <f t="shared" si="24"/>
        <v>%pureza</v>
      </c>
      <c r="J296" t="str">
        <f t="shared" si="27"/>
        <v>✅ OK</v>
      </c>
      <c r="K296" t="str">
        <f t="shared" si="28"/>
        <v>🟡 PRECAUCIÓN</v>
      </c>
      <c r="L296" t="str">
        <f t="shared" si="29"/>
        <v>Inspector de Calidad</v>
      </c>
    </row>
    <row r="297" spans="1:12" x14ac:dyDescent="0.3">
      <c r="A297" t="str">
        <f t="shared" si="25"/>
        <v>KPI-296</v>
      </c>
      <c r="B297" s="2">
        <f>INDEX(Lotes!$B$2:$B$53,INT((ROW()-2)/6)+1)</f>
        <v>46438</v>
      </c>
      <c r="C297">
        <f>INDEX(Lotes!$C$2:$C$53,INT((ROW()-2)/6)+1)</f>
        <v>8</v>
      </c>
      <c r="D297" t="str">
        <f>INDEX(Lotes!$A$2:$A$53,INT((ROW()-2)/6)+1)</f>
        <v>RETEX-2024-050</v>
      </c>
      <c r="E297" t="str">
        <f>INDEX(Lotes!$D$2:$D$53,INT((ROW()-2)/6)+1)</f>
        <v>febrero</v>
      </c>
      <c r="F297" t="s">
        <v>107</v>
      </c>
      <c r="G297" s="10">
        <v>69.790000000000006</v>
      </c>
      <c r="H297">
        <f t="shared" si="26"/>
        <v>70</v>
      </c>
      <c r="I297" t="str">
        <f t="shared" si="24"/>
        <v>%rendimiento</v>
      </c>
      <c r="J297" t="str">
        <f t="shared" si="27"/>
        <v>❌ ALERTA</v>
      </c>
      <c r="K297" t="str">
        <f t="shared" si="28"/>
        <v>🔴 ALERTA</v>
      </c>
      <c r="L297" t="str">
        <f t="shared" si="29"/>
        <v>Coordinador de Planta</v>
      </c>
    </row>
    <row r="298" spans="1:12" x14ac:dyDescent="0.3">
      <c r="A298" t="str">
        <f t="shared" si="25"/>
        <v>KPI-297</v>
      </c>
      <c r="B298" s="2">
        <f>INDEX(Lotes!$B$2:$B$53,INT((ROW()-2)/6)+1)</f>
        <v>46438</v>
      </c>
      <c r="C298">
        <f>INDEX(Lotes!$C$2:$C$53,INT((ROW()-2)/6)+1)</f>
        <v>8</v>
      </c>
      <c r="D298" t="str">
        <f>INDEX(Lotes!$A$2:$A$53,INT((ROW()-2)/6)+1)</f>
        <v>RETEX-2024-050</v>
      </c>
      <c r="E298" t="str">
        <f>INDEX(Lotes!$D$2:$D$53,INT((ROW()-2)/6)+1)</f>
        <v>febrero</v>
      </c>
      <c r="F298" t="s">
        <v>108</v>
      </c>
      <c r="G298" s="10">
        <v>4.5199999999999996</v>
      </c>
      <c r="H298">
        <f t="shared" si="26"/>
        <v>8</v>
      </c>
      <c r="I298" t="str">
        <f t="shared" si="24"/>
        <v>%humedad</v>
      </c>
      <c r="J298" t="str">
        <f t="shared" si="27"/>
        <v>✅ OK</v>
      </c>
      <c r="K298" t="str">
        <f t="shared" si="28"/>
        <v>🟢 OK</v>
      </c>
      <c r="L298" t="str">
        <f t="shared" si="29"/>
        <v>Almacenista</v>
      </c>
    </row>
    <row r="299" spans="1:12" x14ac:dyDescent="0.3">
      <c r="A299" t="str">
        <f t="shared" si="25"/>
        <v>KPI-298</v>
      </c>
      <c r="B299" s="2">
        <f>INDEX(Lotes!$B$2:$B$53,INT((ROW()-2)/6)+1)</f>
        <v>46438</v>
      </c>
      <c r="C299">
        <f>INDEX(Lotes!$C$2:$C$53,INT((ROW()-2)/6)+1)</f>
        <v>8</v>
      </c>
      <c r="D299" t="str">
        <f>INDEX(Lotes!$A$2:$A$53,INT((ROW()-2)/6)+1)</f>
        <v>RETEX-2024-050</v>
      </c>
      <c r="E299" t="str">
        <f>INDEX(Lotes!$D$2:$D$53,INT((ROW()-2)/6)+1)</f>
        <v>febrero</v>
      </c>
      <c r="F299" t="s">
        <v>109</v>
      </c>
      <c r="G299" s="10">
        <v>0.53</v>
      </c>
      <c r="H299">
        <f t="shared" si="26"/>
        <v>1</v>
      </c>
      <c r="I299" t="str">
        <f t="shared" si="24"/>
        <v>%retorno</v>
      </c>
      <c r="J299" t="str">
        <f t="shared" si="27"/>
        <v>✅ OK</v>
      </c>
      <c r="K299" t="str">
        <f t="shared" si="28"/>
        <v>🟢 OK</v>
      </c>
      <c r="L299" t="str">
        <f t="shared" si="29"/>
        <v>Gerente de Calidad</v>
      </c>
    </row>
    <row r="300" spans="1:12" x14ac:dyDescent="0.3">
      <c r="A300" t="str">
        <f t="shared" si="25"/>
        <v>KPI-299</v>
      </c>
      <c r="B300" s="2">
        <f>INDEX(Lotes!$B$2:$B$53,INT((ROW()-2)/6)+1)</f>
        <v>46438</v>
      </c>
      <c r="C300">
        <f>INDEX(Lotes!$C$2:$C$53,INT((ROW()-2)/6)+1)</f>
        <v>8</v>
      </c>
      <c r="D300" t="str">
        <f>INDEX(Lotes!$A$2:$A$53,INT((ROW()-2)/6)+1)</f>
        <v>RETEX-2024-050</v>
      </c>
      <c r="E300" t="str">
        <f>INDEX(Lotes!$D$2:$D$53,INT((ROW()-2)/6)+1)</f>
        <v>febrero</v>
      </c>
      <c r="F300" t="s">
        <v>110</v>
      </c>
      <c r="G300" s="10">
        <v>3.67</v>
      </c>
      <c r="H300">
        <f t="shared" si="26"/>
        <v>3</v>
      </c>
      <c r="I300" t="str">
        <f t="shared" si="24"/>
        <v>%error</v>
      </c>
      <c r="J300" t="str">
        <f t="shared" si="27"/>
        <v>❌ ALERTA</v>
      </c>
      <c r="K300" t="str">
        <f t="shared" si="28"/>
        <v>🔴 ALERTA</v>
      </c>
      <c r="L300" t="str">
        <f t="shared" si="29"/>
        <v>Supervisor</v>
      </c>
    </row>
    <row r="301" spans="1:12" x14ac:dyDescent="0.3">
      <c r="A301" t="str">
        <f t="shared" si="25"/>
        <v>KPI-300</v>
      </c>
      <c r="B301" s="2">
        <f>INDEX(Lotes!$B$2:$B$53,INT((ROW()-2)/6)+1)</f>
        <v>46438</v>
      </c>
      <c r="C301">
        <f>INDEX(Lotes!$C$2:$C$53,INT((ROW()-2)/6)+1)</f>
        <v>8</v>
      </c>
      <c r="D301" t="str">
        <f>INDEX(Lotes!$A$2:$A$53,INT((ROW()-2)/6)+1)</f>
        <v>RETEX-2024-050</v>
      </c>
      <c r="E301" t="str">
        <f>INDEX(Lotes!$D$2:$D$53,INT((ROW()-2)/6)+1)</f>
        <v>febrero</v>
      </c>
      <c r="F301" t="s">
        <v>111</v>
      </c>
      <c r="G301" s="10">
        <v>0.72</v>
      </c>
      <c r="H301">
        <f t="shared" si="26"/>
        <v>1</v>
      </c>
      <c r="I301" t="str">
        <f t="shared" si="24"/>
        <v>índice</v>
      </c>
      <c r="J301" t="str">
        <f t="shared" si="27"/>
        <v>❌ ALERTA</v>
      </c>
      <c r="K301" t="str">
        <f t="shared" si="28"/>
        <v>🔴 ALERTA</v>
      </c>
      <c r="L301" t="str">
        <f t="shared" si="29"/>
        <v>Ingeniero de Calidad</v>
      </c>
    </row>
    <row r="302" spans="1:12" x14ac:dyDescent="0.3">
      <c r="A302" t="str">
        <f t="shared" si="25"/>
        <v>KPI-301</v>
      </c>
      <c r="B302" s="2">
        <f>INDEX(Lotes!$B$2:$B$53,INT((ROW()-2)/6)+1)</f>
        <v>46445</v>
      </c>
      <c r="C302">
        <f>INDEX(Lotes!$C$2:$C$53,INT((ROW()-2)/6)+1)</f>
        <v>9</v>
      </c>
      <c r="D302" t="str">
        <f>INDEX(Lotes!$A$2:$A$53,INT((ROW()-2)/6)+1)</f>
        <v>RETEX-2024-051</v>
      </c>
      <c r="E302" t="str">
        <f>INDEX(Lotes!$D$2:$D$53,INT((ROW()-2)/6)+1)</f>
        <v>febrero</v>
      </c>
      <c r="F302" t="s">
        <v>106</v>
      </c>
      <c r="G302" s="10">
        <v>97.29</v>
      </c>
      <c r="H302">
        <f t="shared" si="26"/>
        <v>96</v>
      </c>
      <c r="I302" t="str">
        <f t="shared" si="24"/>
        <v>%pureza</v>
      </c>
      <c r="J302" t="str">
        <f t="shared" si="27"/>
        <v>✅ OK</v>
      </c>
      <c r="K302" t="str">
        <f t="shared" si="28"/>
        <v>🟡 PRECAUCIÓN</v>
      </c>
      <c r="L302" t="str">
        <f t="shared" si="29"/>
        <v>Inspector de Calidad</v>
      </c>
    </row>
    <row r="303" spans="1:12" x14ac:dyDescent="0.3">
      <c r="A303" t="str">
        <f t="shared" si="25"/>
        <v>KPI-302</v>
      </c>
      <c r="B303" s="2">
        <f>INDEX(Lotes!$B$2:$B$53,INT((ROW()-2)/6)+1)</f>
        <v>46445</v>
      </c>
      <c r="C303">
        <f>INDEX(Lotes!$C$2:$C$53,INT((ROW()-2)/6)+1)</f>
        <v>9</v>
      </c>
      <c r="D303" t="str">
        <f>INDEX(Lotes!$A$2:$A$53,INT((ROW()-2)/6)+1)</f>
        <v>RETEX-2024-051</v>
      </c>
      <c r="E303" t="str">
        <f>INDEX(Lotes!$D$2:$D$53,INT((ROW()-2)/6)+1)</f>
        <v>febrero</v>
      </c>
      <c r="F303" t="s">
        <v>107</v>
      </c>
      <c r="G303" s="10">
        <v>71.319999999999993</v>
      </c>
      <c r="H303">
        <f t="shared" si="26"/>
        <v>70</v>
      </c>
      <c r="I303" t="str">
        <f t="shared" si="24"/>
        <v>%rendimiento</v>
      </c>
      <c r="J303" t="str">
        <f t="shared" si="27"/>
        <v>✅ OK</v>
      </c>
      <c r="K303" t="str">
        <f t="shared" si="28"/>
        <v>🟡 PRECAUCIÓN</v>
      </c>
      <c r="L303" t="str">
        <f t="shared" si="29"/>
        <v>Coordinador de Planta</v>
      </c>
    </row>
    <row r="304" spans="1:12" x14ac:dyDescent="0.3">
      <c r="A304" t="str">
        <f t="shared" si="25"/>
        <v>KPI-303</v>
      </c>
      <c r="B304" s="2">
        <f>INDEX(Lotes!$B$2:$B$53,INT((ROW()-2)/6)+1)</f>
        <v>46445</v>
      </c>
      <c r="C304">
        <f>INDEX(Lotes!$C$2:$C$53,INT((ROW()-2)/6)+1)</f>
        <v>9</v>
      </c>
      <c r="D304" t="str">
        <f>INDEX(Lotes!$A$2:$A$53,INT((ROW()-2)/6)+1)</f>
        <v>RETEX-2024-051</v>
      </c>
      <c r="E304" t="str">
        <f>INDEX(Lotes!$D$2:$D$53,INT((ROW()-2)/6)+1)</f>
        <v>febrero</v>
      </c>
      <c r="F304" t="s">
        <v>108</v>
      </c>
      <c r="G304" s="10">
        <v>5.31</v>
      </c>
      <c r="H304">
        <f t="shared" si="26"/>
        <v>8</v>
      </c>
      <c r="I304" t="str">
        <f t="shared" si="24"/>
        <v>%humedad</v>
      </c>
      <c r="J304" t="str">
        <f t="shared" si="27"/>
        <v>✅ OK</v>
      </c>
      <c r="K304" t="str">
        <f t="shared" si="28"/>
        <v>🟢 OK</v>
      </c>
      <c r="L304" t="str">
        <f t="shared" si="29"/>
        <v>Almacenista</v>
      </c>
    </row>
    <row r="305" spans="1:12" x14ac:dyDescent="0.3">
      <c r="A305" t="str">
        <f t="shared" si="25"/>
        <v>KPI-304</v>
      </c>
      <c r="B305" s="2">
        <f>INDEX(Lotes!$B$2:$B$53,INT((ROW()-2)/6)+1)</f>
        <v>46445</v>
      </c>
      <c r="C305">
        <f>INDEX(Lotes!$C$2:$C$53,INT((ROW()-2)/6)+1)</f>
        <v>9</v>
      </c>
      <c r="D305" t="str">
        <f>INDEX(Lotes!$A$2:$A$53,INT((ROW()-2)/6)+1)</f>
        <v>RETEX-2024-051</v>
      </c>
      <c r="E305" t="str">
        <f>INDEX(Lotes!$D$2:$D$53,INT((ROW()-2)/6)+1)</f>
        <v>febrero</v>
      </c>
      <c r="F305" t="s">
        <v>109</v>
      </c>
      <c r="G305" s="10">
        <v>0.83</v>
      </c>
      <c r="H305">
        <f t="shared" si="26"/>
        <v>1</v>
      </c>
      <c r="I305" t="str">
        <f t="shared" si="24"/>
        <v>%retorno</v>
      </c>
      <c r="J305" t="str">
        <f t="shared" si="27"/>
        <v>✅ OK</v>
      </c>
      <c r="K305" t="str">
        <f t="shared" si="28"/>
        <v>🟢 OK</v>
      </c>
      <c r="L305" t="str">
        <f t="shared" si="29"/>
        <v>Gerente de Calidad</v>
      </c>
    </row>
    <row r="306" spans="1:12" x14ac:dyDescent="0.3">
      <c r="A306" t="str">
        <f t="shared" si="25"/>
        <v>KPI-305</v>
      </c>
      <c r="B306" s="2">
        <f>INDEX(Lotes!$B$2:$B$53,INT((ROW()-2)/6)+1)</f>
        <v>46445</v>
      </c>
      <c r="C306">
        <f>INDEX(Lotes!$C$2:$C$53,INT((ROW()-2)/6)+1)</f>
        <v>9</v>
      </c>
      <c r="D306" t="str">
        <f>INDEX(Lotes!$A$2:$A$53,INT((ROW()-2)/6)+1)</f>
        <v>RETEX-2024-051</v>
      </c>
      <c r="E306" t="str">
        <f>INDEX(Lotes!$D$2:$D$53,INT((ROW()-2)/6)+1)</f>
        <v>febrero</v>
      </c>
      <c r="F306" t="s">
        <v>110</v>
      </c>
      <c r="G306" s="10">
        <v>3.66</v>
      </c>
      <c r="H306">
        <f t="shared" si="26"/>
        <v>3</v>
      </c>
      <c r="I306" t="str">
        <f t="shared" si="24"/>
        <v>%error</v>
      </c>
      <c r="J306" t="str">
        <f t="shared" si="27"/>
        <v>❌ ALERTA</v>
      </c>
      <c r="K306" t="str">
        <f t="shared" si="28"/>
        <v>🔴 ALERTA</v>
      </c>
      <c r="L306" t="str">
        <f t="shared" si="29"/>
        <v>Supervisor</v>
      </c>
    </row>
    <row r="307" spans="1:12" x14ac:dyDescent="0.3">
      <c r="A307" t="str">
        <f t="shared" si="25"/>
        <v>KPI-306</v>
      </c>
      <c r="B307" s="2">
        <f>INDEX(Lotes!$B$2:$B$53,INT((ROW()-2)/6)+1)</f>
        <v>46445</v>
      </c>
      <c r="C307">
        <f>INDEX(Lotes!$C$2:$C$53,INT((ROW()-2)/6)+1)</f>
        <v>9</v>
      </c>
      <c r="D307" t="str">
        <f>INDEX(Lotes!$A$2:$A$53,INT((ROW()-2)/6)+1)</f>
        <v>RETEX-2024-051</v>
      </c>
      <c r="E307" t="str">
        <f>INDEX(Lotes!$D$2:$D$53,INT((ROW()-2)/6)+1)</f>
        <v>febrero</v>
      </c>
      <c r="F307" t="s">
        <v>111</v>
      </c>
      <c r="G307" s="10">
        <v>0.95</v>
      </c>
      <c r="H307">
        <f t="shared" si="26"/>
        <v>1</v>
      </c>
      <c r="I307" t="str">
        <f t="shared" si="24"/>
        <v>índice</v>
      </c>
      <c r="J307" t="str">
        <f t="shared" si="27"/>
        <v>❌ ALERTA</v>
      </c>
      <c r="K307" t="str">
        <f t="shared" si="28"/>
        <v>🔴 ALERTA</v>
      </c>
      <c r="L307" t="str">
        <f t="shared" si="29"/>
        <v>Ingeniero de Calidad</v>
      </c>
    </row>
    <row r="308" spans="1:12" x14ac:dyDescent="0.3">
      <c r="A308" t="str">
        <f t="shared" si="25"/>
        <v>KPI-307</v>
      </c>
      <c r="B308" s="2">
        <f>INDEX(Lotes!$B$2:$B$53,INT((ROW()-2)/6)+1)</f>
        <v>46452</v>
      </c>
      <c r="C308">
        <f>INDEX(Lotes!$C$2:$C$53,INT((ROW()-2)/6)+1)</f>
        <v>10</v>
      </c>
      <c r="D308" t="str">
        <f>INDEX(Lotes!$A$2:$A$53,INT((ROW()-2)/6)+1)</f>
        <v>RETEX-2024-052</v>
      </c>
      <c r="E308" t="str">
        <f>INDEX(Lotes!$D$2:$D$53,INT((ROW()-2)/6)+1)</f>
        <v>marzo</v>
      </c>
      <c r="F308" t="s">
        <v>106</v>
      </c>
      <c r="G308" s="10">
        <v>97.13</v>
      </c>
      <c r="H308">
        <f t="shared" si="26"/>
        <v>96</v>
      </c>
      <c r="I308" t="str">
        <f t="shared" si="24"/>
        <v>%pureza</v>
      </c>
      <c r="J308" t="str">
        <f t="shared" si="27"/>
        <v>✅ OK</v>
      </c>
      <c r="K308" t="str">
        <f t="shared" si="28"/>
        <v>🟡 PRECAUCIÓN</v>
      </c>
      <c r="L308" t="str">
        <f t="shared" si="29"/>
        <v>Inspector de Calidad</v>
      </c>
    </row>
    <row r="309" spans="1:12" x14ac:dyDescent="0.3">
      <c r="A309" t="str">
        <f t="shared" si="25"/>
        <v>KPI-308</v>
      </c>
      <c r="B309" s="2">
        <f>INDEX(Lotes!$B$2:$B$53,INT((ROW()-2)/6)+1)</f>
        <v>46452</v>
      </c>
      <c r="C309">
        <f>INDEX(Lotes!$C$2:$C$53,INT((ROW()-2)/6)+1)</f>
        <v>10</v>
      </c>
      <c r="D309" t="str">
        <f>INDEX(Lotes!$A$2:$A$53,INT((ROW()-2)/6)+1)</f>
        <v>RETEX-2024-052</v>
      </c>
      <c r="E309" t="str">
        <f>INDEX(Lotes!$D$2:$D$53,INT((ROW()-2)/6)+1)</f>
        <v>marzo</v>
      </c>
      <c r="F309" t="s">
        <v>107</v>
      </c>
      <c r="G309" s="10">
        <v>75.209999999999994</v>
      </c>
      <c r="H309">
        <f t="shared" si="26"/>
        <v>70</v>
      </c>
      <c r="I309" t="str">
        <f t="shared" si="24"/>
        <v>%rendimiento</v>
      </c>
      <c r="J309" t="str">
        <f t="shared" si="27"/>
        <v>✅ OK</v>
      </c>
      <c r="K309" t="str">
        <f t="shared" si="28"/>
        <v>🟢 OK</v>
      </c>
      <c r="L309" t="str">
        <f t="shared" si="29"/>
        <v>Coordinador de Planta</v>
      </c>
    </row>
    <row r="310" spans="1:12" x14ac:dyDescent="0.3">
      <c r="A310" t="str">
        <f t="shared" si="25"/>
        <v>KPI-309</v>
      </c>
      <c r="B310" s="2">
        <f>INDEX(Lotes!$B$2:$B$53,INT((ROW()-2)/6)+1)</f>
        <v>46452</v>
      </c>
      <c r="C310">
        <f>INDEX(Lotes!$C$2:$C$53,INT((ROW()-2)/6)+1)</f>
        <v>10</v>
      </c>
      <c r="D310" t="str">
        <f>INDEX(Lotes!$A$2:$A$53,INT((ROW()-2)/6)+1)</f>
        <v>RETEX-2024-052</v>
      </c>
      <c r="E310" t="str">
        <f>INDEX(Lotes!$D$2:$D$53,INT((ROW()-2)/6)+1)</f>
        <v>marzo</v>
      </c>
      <c r="F310" t="s">
        <v>108</v>
      </c>
      <c r="G310" s="10">
        <v>6.1</v>
      </c>
      <c r="H310">
        <f t="shared" si="26"/>
        <v>8</v>
      </c>
      <c r="I310" t="str">
        <f t="shared" si="24"/>
        <v>%humedad</v>
      </c>
      <c r="J310" t="str">
        <f t="shared" si="27"/>
        <v>✅ OK</v>
      </c>
      <c r="K310" t="str">
        <f t="shared" si="28"/>
        <v>🟢 OK</v>
      </c>
      <c r="L310" t="str">
        <f t="shared" si="29"/>
        <v>Almacenista</v>
      </c>
    </row>
    <row r="311" spans="1:12" x14ac:dyDescent="0.3">
      <c r="A311" t="str">
        <f t="shared" si="25"/>
        <v>KPI-310</v>
      </c>
      <c r="B311" s="2">
        <f>INDEX(Lotes!$B$2:$B$53,INT((ROW()-2)/6)+1)</f>
        <v>46452</v>
      </c>
      <c r="C311">
        <f>INDEX(Lotes!$C$2:$C$53,INT((ROW()-2)/6)+1)</f>
        <v>10</v>
      </c>
      <c r="D311" t="str">
        <f>INDEX(Lotes!$A$2:$A$53,INT((ROW()-2)/6)+1)</f>
        <v>RETEX-2024-052</v>
      </c>
      <c r="E311" t="str">
        <f>INDEX(Lotes!$D$2:$D$53,INT((ROW()-2)/6)+1)</f>
        <v>marzo</v>
      </c>
      <c r="F311" t="s">
        <v>109</v>
      </c>
      <c r="G311" s="10">
        <v>0.69</v>
      </c>
      <c r="H311">
        <f t="shared" si="26"/>
        <v>1</v>
      </c>
      <c r="I311" t="str">
        <f t="shared" si="24"/>
        <v>%retorno</v>
      </c>
      <c r="J311" t="str">
        <f t="shared" si="27"/>
        <v>✅ OK</v>
      </c>
      <c r="K311" t="str">
        <f t="shared" si="28"/>
        <v>🟢 OK</v>
      </c>
      <c r="L311" t="str">
        <f t="shared" si="29"/>
        <v>Gerente de Calidad</v>
      </c>
    </row>
    <row r="312" spans="1:12" x14ac:dyDescent="0.3">
      <c r="A312" t="str">
        <f t="shared" si="25"/>
        <v>KPI-311</v>
      </c>
      <c r="B312" s="2">
        <f>INDEX(Lotes!$B$2:$B$53,INT((ROW()-2)/6)+1)</f>
        <v>46452</v>
      </c>
      <c r="C312">
        <f>INDEX(Lotes!$C$2:$C$53,INT((ROW()-2)/6)+1)</f>
        <v>10</v>
      </c>
      <c r="D312" t="str">
        <f>INDEX(Lotes!$A$2:$A$53,INT((ROW()-2)/6)+1)</f>
        <v>RETEX-2024-052</v>
      </c>
      <c r="E312" t="str">
        <f>INDEX(Lotes!$D$2:$D$53,INT((ROW()-2)/6)+1)</f>
        <v>marzo</v>
      </c>
      <c r="F312" t="s">
        <v>110</v>
      </c>
      <c r="G312" s="10">
        <v>2.91</v>
      </c>
      <c r="H312">
        <f t="shared" si="26"/>
        <v>3</v>
      </c>
      <c r="I312" t="str">
        <f t="shared" si="24"/>
        <v>%error</v>
      </c>
      <c r="J312" t="str">
        <f t="shared" si="27"/>
        <v>✅ OK</v>
      </c>
      <c r="K312" t="str">
        <f t="shared" si="28"/>
        <v>🟡 PRECAUCIÓN</v>
      </c>
      <c r="L312" t="str">
        <f t="shared" si="29"/>
        <v>Supervisor</v>
      </c>
    </row>
    <row r="313" spans="1:12" x14ac:dyDescent="0.3">
      <c r="A313" t="str">
        <f t="shared" si="25"/>
        <v>KPI-312</v>
      </c>
      <c r="B313" s="2">
        <f>INDEX(Lotes!$B$2:$B$53,INT((ROW()-2)/6)+1)</f>
        <v>46452</v>
      </c>
      <c r="C313">
        <f>INDEX(Lotes!$C$2:$C$53,INT((ROW()-2)/6)+1)</f>
        <v>10</v>
      </c>
      <c r="D313" t="str">
        <f>INDEX(Lotes!$A$2:$A$53,INT((ROW()-2)/6)+1)</f>
        <v>RETEX-2024-052</v>
      </c>
      <c r="E313" t="str">
        <f>INDEX(Lotes!$D$2:$D$53,INT((ROW()-2)/6)+1)</f>
        <v>marzo</v>
      </c>
      <c r="F313" t="s">
        <v>111</v>
      </c>
      <c r="G313" s="10">
        <v>0.88</v>
      </c>
      <c r="H313">
        <f t="shared" si="26"/>
        <v>1</v>
      </c>
      <c r="I313" t="str">
        <f t="shared" si="24"/>
        <v>índice</v>
      </c>
      <c r="J313" t="str">
        <f t="shared" si="27"/>
        <v>❌ ALERTA</v>
      </c>
      <c r="K313" t="str">
        <f t="shared" si="28"/>
        <v>🔴 ALERTA</v>
      </c>
      <c r="L313" t="str">
        <f t="shared" si="29"/>
        <v>Ingeniero de Calidad</v>
      </c>
    </row>
    <row r="314" spans="1:12" x14ac:dyDescent="0.3">
      <c r="B314"/>
    </row>
    <row r="315" spans="1:12" x14ac:dyDescent="0.3">
      <c r="B315"/>
    </row>
    <row r="316" spans="1:12" ht="15" customHeight="1" x14ac:dyDescent="0.3">
      <c r="B316"/>
    </row>
    <row r="319" spans="1:12" x14ac:dyDescent="0.3">
      <c r="G319" s="2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C934-4B82-4B92-B63D-BFA2103FF31B}">
  <dimension ref="A1:H49"/>
  <sheetViews>
    <sheetView tabSelected="1" topLeftCell="A30" workbookViewId="0">
      <selection activeCell="D52" sqref="D52"/>
    </sheetView>
  </sheetViews>
  <sheetFormatPr baseColWidth="10" defaultRowHeight="14.4" x14ac:dyDescent="0.3"/>
  <cols>
    <col min="1" max="1" width="10.44140625" customWidth="1"/>
    <col min="2" max="2" width="11.5546875" customWidth="1"/>
    <col min="3" max="3" width="14.33203125" customWidth="1"/>
    <col min="4" max="4" width="11.44140625" bestFit="1" customWidth="1"/>
    <col min="5" max="5" width="13.21875" customWidth="1"/>
    <col min="6" max="6" width="17.21875" customWidth="1"/>
    <col min="7" max="7" width="21.5546875" customWidth="1"/>
    <col min="8" max="8" width="18.44140625" customWidth="1"/>
    <col min="10" max="10" width="15.44140625" bestFit="1" customWidth="1"/>
    <col min="11" max="11" width="22.88671875" bestFit="1" customWidth="1"/>
    <col min="12" max="12" width="13.77734375" bestFit="1" customWidth="1"/>
  </cols>
  <sheetData>
    <row r="1" spans="1:8" x14ac:dyDescent="0.3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">
      <c r="A2" t="str">
        <f>"CONC-"&amp;TEXT(ROW()-1,"000")</f>
        <v>CONC-001</v>
      </c>
      <c r="B2">
        <f>INT((ROW()-2)/4)+1</f>
        <v>1</v>
      </c>
      <c r="C2" t="str">
        <f>TEXT(DATE(2024,B2,1),"mmmm")</f>
        <v>enero</v>
      </c>
      <c r="D2" t="s">
        <v>120</v>
      </c>
      <c r="E2">
        <v>1440.73</v>
      </c>
      <c r="F2" s="14">
        <f>ROUND(E2/SUM($E$2:$E$49),4)</f>
        <v>4.3499999999999997E-2</v>
      </c>
      <c r="G2">
        <f>ROUND(IF(D2="Falla Interna",E2*0.8,
IF(D2="Falla Externa",E2*0.9,IF(D2="Inspección",E2*1,
0))),2)</f>
        <v>1152.58</v>
      </c>
      <c r="H2">
        <f>SUM($E$2:E2)</f>
        <v>1440.73</v>
      </c>
    </row>
    <row r="3" spans="1:8" x14ac:dyDescent="0.3">
      <c r="A3" t="str">
        <f t="shared" ref="A3:A49" si="0">"CONC-"&amp;TEXT(ROW()-1,"000")</f>
        <v>CONC-002</v>
      </c>
      <c r="B3">
        <f t="shared" ref="B3:B49" si="1">INT((ROW()-2)/4)+1</f>
        <v>1</v>
      </c>
      <c r="C3" t="str">
        <f t="shared" ref="C3:C49" si="2">TEXT(DATE(2024,B3,1),"mmmm")</f>
        <v>enero</v>
      </c>
      <c r="D3" t="s">
        <v>121</v>
      </c>
      <c r="E3">
        <v>730.48</v>
      </c>
      <c r="F3" s="14">
        <f t="shared" ref="F3:F49" si="3">ROUND(E3/SUM($E$2:$E$49),4)</f>
        <v>2.2100000000000002E-2</v>
      </c>
      <c r="G3">
        <f t="shared" ref="G3:G49" si="4">ROUND(IF(D3="Falla Interna",E3*0.8,
IF(D3="Falla Externa",E3*0.9,IF(D3="Inspección",E3*1,
0))),2)</f>
        <v>657.43</v>
      </c>
      <c r="H3">
        <f>SUM($E$2:E3)</f>
        <v>2171.21</v>
      </c>
    </row>
    <row r="4" spans="1:8" x14ac:dyDescent="0.3">
      <c r="A4" t="str">
        <f t="shared" si="0"/>
        <v>CONC-003</v>
      </c>
      <c r="B4">
        <f t="shared" si="1"/>
        <v>1</v>
      </c>
      <c r="C4" t="str">
        <f t="shared" si="2"/>
        <v>enero</v>
      </c>
      <c r="D4" t="s">
        <v>122</v>
      </c>
      <c r="E4">
        <v>374.12</v>
      </c>
      <c r="F4" s="14">
        <f t="shared" si="3"/>
        <v>1.1299999999999999E-2</v>
      </c>
      <c r="G4">
        <f t="shared" si="4"/>
        <v>374.12</v>
      </c>
      <c r="H4">
        <f>SUM($E$2:E4)</f>
        <v>2545.33</v>
      </c>
    </row>
    <row r="5" spans="1:8" x14ac:dyDescent="0.3">
      <c r="A5" t="str">
        <f t="shared" si="0"/>
        <v>CONC-004</v>
      </c>
      <c r="B5">
        <f t="shared" si="1"/>
        <v>1</v>
      </c>
      <c r="C5" t="str">
        <f t="shared" si="2"/>
        <v>enero</v>
      </c>
      <c r="D5" t="s">
        <v>123</v>
      </c>
      <c r="E5">
        <v>250.77</v>
      </c>
      <c r="F5" s="14">
        <f t="shared" si="3"/>
        <v>7.6E-3</v>
      </c>
      <c r="G5">
        <f t="shared" si="4"/>
        <v>0</v>
      </c>
      <c r="H5">
        <f>SUM($E$2:E5)</f>
        <v>2796.1</v>
      </c>
    </row>
    <row r="6" spans="1:8" x14ac:dyDescent="0.3">
      <c r="A6" t="str">
        <f t="shared" si="0"/>
        <v>CONC-005</v>
      </c>
      <c r="B6">
        <f t="shared" si="1"/>
        <v>2</v>
      </c>
      <c r="C6" t="str">
        <f t="shared" si="2"/>
        <v>febrero</v>
      </c>
      <c r="D6" t="s">
        <v>120</v>
      </c>
      <c r="E6">
        <v>1333.11</v>
      </c>
      <c r="F6" s="14">
        <f t="shared" si="3"/>
        <v>4.0300000000000002E-2</v>
      </c>
      <c r="G6">
        <f t="shared" si="4"/>
        <v>1066.49</v>
      </c>
      <c r="H6">
        <f>SUM($E$2:E6)</f>
        <v>4129.21</v>
      </c>
    </row>
    <row r="7" spans="1:8" x14ac:dyDescent="0.3">
      <c r="A7" t="str">
        <f t="shared" si="0"/>
        <v>CONC-006</v>
      </c>
      <c r="B7">
        <f t="shared" si="1"/>
        <v>2</v>
      </c>
      <c r="C7" t="str">
        <f t="shared" si="2"/>
        <v>febrero</v>
      </c>
      <c r="D7" t="s">
        <v>121</v>
      </c>
      <c r="E7">
        <v>954.91</v>
      </c>
      <c r="F7" s="14">
        <f t="shared" si="3"/>
        <v>2.8899999999999999E-2</v>
      </c>
      <c r="G7">
        <f t="shared" si="4"/>
        <v>859.42</v>
      </c>
      <c r="H7">
        <f>SUM($E$2:E7)</f>
        <v>5084.12</v>
      </c>
    </row>
    <row r="8" spans="1:8" x14ac:dyDescent="0.3">
      <c r="A8" t="str">
        <f t="shared" si="0"/>
        <v>CONC-007</v>
      </c>
      <c r="B8">
        <f t="shared" si="1"/>
        <v>2</v>
      </c>
      <c r="C8" t="str">
        <f t="shared" si="2"/>
        <v>febrero</v>
      </c>
      <c r="D8" t="s">
        <v>122</v>
      </c>
      <c r="E8">
        <v>490.92</v>
      </c>
      <c r="F8" s="14">
        <f t="shared" si="3"/>
        <v>1.4800000000000001E-2</v>
      </c>
      <c r="G8">
        <f t="shared" si="4"/>
        <v>490.92</v>
      </c>
      <c r="H8">
        <f>SUM($E$2:E8)</f>
        <v>5575.04</v>
      </c>
    </row>
    <row r="9" spans="1:8" x14ac:dyDescent="0.3">
      <c r="A9" t="str">
        <f t="shared" si="0"/>
        <v>CONC-008</v>
      </c>
      <c r="B9">
        <f t="shared" si="1"/>
        <v>2</v>
      </c>
      <c r="C9" t="str">
        <f t="shared" si="2"/>
        <v>febrero</v>
      </c>
      <c r="D9" t="s">
        <v>123</v>
      </c>
      <c r="E9">
        <v>207.24</v>
      </c>
      <c r="F9" s="14">
        <f t="shared" si="3"/>
        <v>6.3E-3</v>
      </c>
      <c r="G9">
        <f t="shared" si="4"/>
        <v>0</v>
      </c>
      <c r="H9">
        <f>SUM($E$2:E9)</f>
        <v>5782.28</v>
      </c>
    </row>
    <row r="10" spans="1:8" x14ac:dyDescent="0.3">
      <c r="A10" t="str">
        <f t="shared" si="0"/>
        <v>CONC-009</v>
      </c>
      <c r="B10">
        <f t="shared" si="1"/>
        <v>3</v>
      </c>
      <c r="C10" t="str">
        <f t="shared" si="2"/>
        <v>marzo</v>
      </c>
      <c r="D10" t="s">
        <v>120</v>
      </c>
      <c r="E10">
        <v>1359.06</v>
      </c>
      <c r="F10" s="14">
        <f t="shared" si="3"/>
        <v>4.1099999999999998E-2</v>
      </c>
      <c r="G10">
        <f t="shared" si="4"/>
        <v>1087.25</v>
      </c>
      <c r="H10">
        <f>SUM($E$2:E10)</f>
        <v>7141.34</v>
      </c>
    </row>
    <row r="11" spans="1:8" x14ac:dyDescent="0.3">
      <c r="A11" t="str">
        <f t="shared" si="0"/>
        <v>CONC-010</v>
      </c>
      <c r="B11">
        <f t="shared" si="1"/>
        <v>3</v>
      </c>
      <c r="C11" t="str">
        <f t="shared" si="2"/>
        <v>marzo</v>
      </c>
      <c r="D11" t="s">
        <v>121</v>
      </c>
      <c r="E11">
        <v>991.5</v>
      </c>
      <c r="F11" s="14">
        <f t="shared" si="3"/>
        <v>0.03</v>
      </c>
      <c r="G11">
        <f t="shared" si="4"/>
        <v>892.35</v>
      </c>
      <c r="H11">
        <f>SUM($E$2:E11)</f>
        <v>8132.84</v>
      </c>
    </row>
    <row r="12" spans="1:8" x14ac:dyDescent="0.3">
      <c r="A12" t="str">
        <f t="shared" si="0"/>
        <v>CONC-011</v>
      </c>
      <c r="B12">
        <f t="shared" si="1"/>
        <v>3</v>
      </c>
      <c r="C12" t="str">
        <f t="shared" si="2"/>
        <v>marzo</v>
      </c>
      <c r="D12" t="s">
        <v>122</v>
      </c>
      <c r="E12">
        <v>442.49</v>
      </c>
      <c r="F12" s="14">
        <f t="shared" si="3"/>
        <v>1.34E-2</v>
      </c>
      <c r="G12">
        <f t="shared" si="4"/>
        <v>442.49</v>
      </c>
      <c r="H12">
        <f>SUM($E$2:E12)</f>
        <v>8575.33</v>
      </c>
    </row>
    <row r="13" spans="1:8" x14ac:dyDescent="0.3">
      <c r="A13" t="str">
        <f t="shared" si="0"/>
        <v>CONC-012</v>
      </c>
      <c r="B13">
        <f t="shared" si="1"/>
        <v>3</v>
      </c>
      <c r="C13" t="str">
        <f t="shared" si="2"/>
        <v>marzo</v>
      </c>
      <c r="D13" t="s">
        <v>123</v>
      </c>
      <c r="E13">
        <v>197.92</v>
      </c>
      <c r="F13" s="14">
        <f t="shared" si="3"/>
        <v>6.0000000000000001E-3</v>
      </c>
      <c r="G13">
        <f t="shared" si="4"/>
        <v>0</v>
      </c>
      <c r="H13">
        <f>SUM($E$2:E13)</f>
        <v>8773.25</v>
      </c>
    </row>
    <row r="14" spans="1:8" x14ac:dyDescent="0.3">
      <c r="A14" t="str">
        <f t="shared" si="0"/>
        <v>CONC-013</v>
      </c>
      <c r="B14">
        <f t="shared" si="1"/>
        <v>4</v>
      </c>
      <c r="C14" t="str">
        <f t="shared" si="2"/>
        <v>abril</v>
      </c>
      <c r="D14" t="s">
        <v>120</v>
      </c>
      <c r="E14">
        <v>1492.32</v>
      </c>
      <c r="F14" s="14">
        <f t="shared" si="3"/>
        <v>4.5100000000000001E-2</v>
      </c>
      <c r="G14">
        <f t="shared" si="4"/>
        <v>1193.8599999999999</v>
      </c>
      <c r="H14">
        <f>SUM($E$2:E14)</f>
        <v>10265.57</v>
      </c>
    </row>
    <row r="15" spans="1:8" x14ac:dyDescent="0.3">
      <c r="A15" t="str">
        <f t="shared" si="0"/>
        <v>CONC-014</v>
      </c>
      <c r="B15">
        <f t="shared" si="1"/>
        <v>4</v>
      </c>
      <c r="C15" t="str">
        <f t="shared" si="2"/>
        <v>abril</v>
      </c>
      <c r="D15" t="s">
        <v>121</v>
      </c>
      <c r="E15">
        <v>754.99</v>
      </c>
      <c r="F15" s="14">
        <f t="shared" si="3"/>
        <v>2.2800000000000001E-2</v>
      </c>
      <c r="G15">
        <f t="shared" si="4"/>
        <v>679.49</v>
      </c>
      <c r="H15">
        <f>SUM($E$2:E15)</f>
        <v>11020.56</v>
      </c>
    </row>
    <row r="16" spans="1:8" x14ac:dyDescent="0.3">
      <c r="A16" t="str">
        <f t="shared" si="0"/>
        <v>CONC-015</v>
      </c>
      <c r="B16">
        <f t="shared" si="1"/>
        <v>4</v>
      </c>
      <c r="C16" t="str">
        <f t="shared" si="2"/>
        <v>abril</v>
      </c>
      <c r="D16" t="s">
        <v>122</v>
      </c>
      <c r="E16">
        <v>417.18</v>
      </c>
      <c r="F16" s="14">
        <f t="shared" si="3"/>
        <v>1.26E-2</v>
      </c>
      <c r="G16">
        <f t="shared" si="4"/>
        <v>417.18</v>
      </c>
      <c r="H16">
        <f>SUM($E$2:E16)</f>
        <v>11437.74</v>
      </c>
    </row>
    <row r="17" spans="1:8" x14ac:dyDescent="0.3">
      <c r="A17" t="str">
        <f t="shared" si="0"/>
        <v>CONC-016</v>
      </c>
      <c r="B17">
        <f t="shared" si="1"/>
        <v>4</v>
      </c>
      <c r="C17" t="str">
        <f t="shared" si="2"/>
        <v>abril</v>
      </c>
      <c r="D17" t="s">
        <v>123</v>
      </c>
      <c r="E17">
        <v>211.26</v>
      </c>
      <c r="F17" s="14">
        <f t="shared" si="3"/>
        <v>6.4000000000000003E-3</v>
      </c>
      <c r="G17">
        <f t="shared" si="4"/>
        <v>0</v>
      </c>
      <c r="H17">
        <f>SUM($E$2:E17)</f>
        <v>11649</v>
      </c>
    </row>
    <row r="18" spans="1:8" x14ac:dyDescent="0.3">
      <c r="A18" t="str">
        <f t="shared" si="0"/>
        <v>CONC-017</v>
      </c>
      <c r="B18">
        <f t="shared" si="1"/>
        <v>5</v>
      </c>
      <c r="C18" t="str">
        <f t="shared" si="2"/>
        <v>mayo</v>
      </c>
      <c r="D18" t="s">
        <v>120</v>
      </c>
      <c r="E18">
        <v>1156.67</v>
      </c>
      <c r="F18" s="14">
        <f t="shared" si="3"/>
        <v>3.5000000000000003E-2</v>
      </c>
      <c r="G18">
        <f t="shared" si="4"/>
        <v>925.34</v>
      </c>
      <c r="H18">
        <f>SUM($E$2:E18)</f>
        <v>12805.67</v>
      </c>
    </row>
    <row r="19" spans="1:8" x14ac:dyDescent="0.3">
      <c r="A19" t="str">
        <f t="shared" si="0"/>
        <v>CONC-018</v>
      </c>
      <c r="B19">
        <f t="shared" si="1"/>
        <v>5</v>
      </c>
      <c r="C19" t="str">
        <f t="shared" si="2"/>
        <v>mayo</v>
      </c>
      <c r="D19" t="s">
        <v>121</v>
      </c>
      <c r="E19">
        <v>846.82</v>
      </c>
      <c r="F19" s="14">
        <f t="shared" si="3"/>
        <v>2.5600000000000001E-2</v>
      </c>
      <c r="G19">
        <f t="shared" si="4"/>
        <v>762.14</v>
      </c>
      <c r="H19">
        <f>SUM($E$2:E19)</f>
        <v>13652.49</v>
      </c>
    </row>
    <row r="20" spans="1:8" x14ac:dyDescent="0.3">
      <c r="A20" t="str">
        <f t="shared" si="0"/>
        <v>CONC-019</v>
      </c>
      <c r="B20">
        <f t="shared" si="1"/>
        <v>5</v>
      </c>
      <c r="C20" t="str">
        <f t="shared" si="2"/>
        <v>mayo</v>
      </c>
      <c r="D20" t="s">
        <v>122</v>
      </c>
      <c r="E20">
        <v>428.48</v>
      </c>
      <c r="F20" s="14">
        <f t="shared" si="3"/>
        <v>1.2999999999999999E-2</v>
      </c>
      <c r="G20">
        <f t="shared" si="4"/>
        <v>428.48</v>
      </c>
      <c r="H20">
        <f>SUM($E$2:E20)</f>
        <v>14080.97</v>
      </c>
    </row>
    <row r="21" spans="1:8" x14ac:dyDescent="0.3">
      <c r="A21" t="str">
        <f t="shared" si="0"/>
        <v>CONC-020</v>
      </c>
      <c r="B21">
        <f t="shared" si="1"/>
        <v>5</v>
      </c>
      <c r="C21" t="str">
        <f t="shared" si="2"/>
        <v>mayo</v>
      </c>
      <c r="D21" t="s">
        <v>123</v>
      </c>
      <c r="E21">
        <v>201.25</v>
      </c>
      <c r="F21" s="14">
        <f t="shared" si="3"/>
        <v>6.1000000000000004E-3</v>
      </c>
      <c r="G21">
        <f t="shared" si="4"/>
        <v>0</v>
      </c>
      <c r="H21">
        <f>SUM($E$2:E21)</f>
        <v>14282.22</v>
      </c>
    </row>
    <row r="22" spans="1:8" x14ac:dyDescent="0.3">
      <c r="A22" t="str">
        <f t="shared" si="0"/>
        <v>CONC-021</v>
      </c>
      <c r="B22">
        <f t="shared" si="1"/>
        <v>6</v>
      </c>
      <c r="C22" t="str">
        <f t="shared" si="2"/>
        <v>junio</v>
      </c>
      <c r="D22" t="s">
        <v>120</v>
      </c>
      <c r="E22">
        <v>1088.94</v>
      </c>
      <c r="F22" s="14">
        <f t="shared" si="3"/>
        <v>3.2899999999999999E-2</v>
      </c>
      <c r="G22">
        <f t="shared" si="4"/>
        <v>871.15</v>
      </c>
      <c r="H22">
        <f>SUM($E$2:E22)</f>
        <v>15371.16</v>
      </c>
    </row>
    <row r="23" spans="1:8" x14ac:dyDescent="0.3">
      <c r="A23" t="str">
        <f t="shared" si="0"/>
        <v>CONC-022</v>
      </c>
      <c r="B23">
        <f t="shared" si="1"/>
        <v>6</v>
      </c>
      <c r="C23" t="str">
        <f t="shared" si="2"/>
        <v>junio</v>
      </c>
      <c r="D23" t="s">
        <v>121</v>
      </c>
      <c r="E23">
        <v>718.84</v>
      </c>
      <c r="F23" s="14">
        <f t="shared" si="3"/>
        <v>2.1700000000000001E-2</v>
      </c>
      <c r="G23">
        <f t="shared" si="4"/>
        <v>646.96</v>
      </c>
      <c r="H23">
        <f>SUM($E$2:E23)</f>
        <v>16090</v>
      </c>
    </row>
    <row r="24" spans="1:8" x14ac:dyDescent="0.3">
      <c r="A24" t="str">
        <f t="shared" si="0"/>
        <v>CONC-023</v>
      </c>
      <c r="B24">
        <f t="shared" si="1"/>
        <v>6</v>
      </c>
      <c r="C24" t="str">
        <f t="shared" si="2"/>
        <v>junio</v>
      </c>
      <c r="D24" t="s">
        <v>122</v>
      </c>
      <c r="E24">
        <v>376.93</v>
      </c>
      <c r="F24" s="14">
        <f t="shared" si="3"/>
        <v>1.14E-2</v>
      </c>
      <c r="G24">
        <f t="shared" si="4"/>
        <v>376.93</v>
      </c>
      <c r="H24">
        <f>SUM($E$2:E24)</f>
        <v>16466.93</v>
      </c>
    </row>
    <row r="25" spans="1:8" x14ac:dyDescent="0.3">
      <c r="A25" t="str">
        <f t="shared" si="0"/>
        <v>CONC-024</v>
      </c>
      <c r="B25">
        <f t="shared" si="1"/>
        <v>6</v>
      </c>
      <c r="C25" t="str">
        <f t="shared" si="2"/>
        <v>junio</v>
      </c>
      <c r="D25" t="s">
        <v>123</v>
      </c>
      <c r="E25">
        <v>187.71</v>
      </c>
      <c r="F25" s="14">
        <f t="shared" si="3"/>
        <v>5.7000000000000002E-3</v>
      </c>
      <c r="G25">
        <f t="shared" si="4"/>
        <v>0</v>
      </c>
      <c r="H25">
        <f>SUM($E$2:E25)</f>
        <v>16654.64</v>
      </c>
    </row>
    <row r="26" spans="1:8" x14ac:dyDescent="0.3">
      <c r="A26" t="str">
        <f t="shared" si="0"/>
        <v>CONC-025</v>
      </c>
      <c r="B26">
        <f t="shared" si="1"/>
        <v>7</v>
      </c>
      <c r="C26" t="str">
        <f t="shared" si="2"/>
        <v>julio</v>
      </c>
      <c r="D26" t="s">
        <v>120</v>
      </c>
      <c r="E26">
        <v>1183.54</v>
      </c>
      <c r="F26" s="14">
        <f t="shared" si="3"/>
        <v>3.5799999999999998E-2</v>
      </c>
      <c r="G26">
        <f t="shared" si="4"/>
        <v>946.83</v>
      </c>
      <c r="H26">
        <f>SUM($E$2:E26)</f>
        <v>17838.18</v>
      </c>
    </row>
    <row r="27" spans="1:8" x14ac:dyDescent="0.3">
      <c r="A27" t="str">
        <f t="shared" si="0"/>
        <v>CONC-026</v>
      </c>
      <c r="B27">
        <f t="shared" si="1"/>
        <v>7</v>
      </c>
      <c r="C27" t="str">
        <f t="shared" si="2"/>
        <v>julio</v>
      </c>
      <c r="D27" t="s">
        <v>121</v>
      </c>
      <c r="E27">
        <v>951.55</v>
      </c>
      <c r="F27" s="14">
        <f t="shared" si="3"/>
        <v>2.8799999999999999E-2</v>
      </c>
      <c r="G27">
        <f t="shared" si="4"/>
        <v>856.4</v>
      </c>
      <c r="H27">
        <f>SUM($E$2:E27)</f>
        <v>18789.73</v>
      </c>
    </row>
    <row r="28" spans="1:8" x14ac:dyDescent="0.3">
      <c r="A28" t="str">
        <f t="shared" si="0"/>
        <v>CONC-027</v>
      </c>
      <c r="B28">
        <f t="shared" si="1"/>
        <v>7</v>
      </c>
      <c r="C28" t="str">
        <f t="shared" si="2"/>
        <v>julio</v>
      </c>
      <c r="D28" t="s">
        <v>122</v>
      </c>
      <c r="E28">
        <v>356.25</v>
      </c>
      <c r="F28" s="14">
        <f t="shared" si="3"/>
        <v>1.0800000000000001E-2</v>
      </c>
      <c r="G28">
        <f t="shared" si="4"/>
        <v>356.25</v>
      </c>
      <c r="H28">
        <f>SUM($E$2:E28)</f>
        <v>19145.98</v>
      </c>
    </row>
    <row r="29" spans="1:8" x14ac:dyDescent="0.3">
      <c r="A29" t="str">
        <f t="shared" si="0"/>
        <v>CONC-028</v>
      </c>
      <c r="B29">
        <f t="shared" si="1"/>
        <v>7</v>
      </c>
      <c r="C29" t="str">
        <f t="shared" si="2"/>
        <v>julio</v>
      </c>
      <c r="D29" t="s">
        <v>123</v>
      </c>
      <c r="E29">
        <v>219.36</v>
      </c>
      <c r="F29" s="14">
        <f t="shared" si="3"/>
        <v>6.6E-3</v>
      </c>
      <c r="G29">
        <f t="shared" si="4"/>
        <v>0</v>
      </c>
      <c r="H29">
        <f>SUM($E$2:E29)</f>
        <v>19365.34</v>
      </c>
    </row>
    <row r="30" spans="1:8" x14ac:dyDescent="0.3">
      <c r="A30" t="str">
        <f t="shared" si="0"/>
        <v>CONC-029</v>
      </c>
      <c r="B30">
        <f t="shared" si="1"/>
        <v>8</v>
      </c>
      <c r="C30" t="str">
        <f t="shared" si="2"/>
        <v>agosto</v>
      </c>
      <c r="D30" t="s">
        <v>120</v>
      </c>
      <c r="E30">
        <v>1153.56</v>
      </c>
      <c r="F30" s="14">
        <f t="shared" si="3"/>
        <v>3.49E-2</v>
      </c>
      <c r="G30">
        <f t="shared" si="4"/>
        <v>922.85</v>
      </c>
      <c r="H30">
        <f>SUM($E$2:E30)</f>
        <v>20518.900000000001</v>
      </c>
    </row>
    <row r="31" spans="1:8" x14ac:dyDescent="0.3">
      <c r="A31" t="str">
        <f t="shared" si="0"/>
        <v>CONC-030</v>
      </c>
      <c r="B31">
        <f t="shared" si="1"/>
        <v>8</v>
      </c>
      <c r="C31" t="str">
        <f t="shared" si="2"/>
        <v>agosto</v>
      </c>
      <c r="D31" t="s">
        <v>121</v>
      </c>
      <c r="E31">
        <v>874.09</v>
      </c>
      <c r="F31" s="14">
        <f t="shared" si="3"/>
        <v>2.64E-2</v>
      </c>
      <c r="G31">
        <f t="shared" si="4"/>
        <v>786.68</v>
      </c>
      <c r="H31">
        <f>SUM($E$2:E31)</f>
        <v>21392.99</v>
      </c>
    </row>
    <row r="32" spans="1:8" x14ac:dyDescent="0.3">
      <c r="A32" t="str">
        <f t="shared" si="0"/>
        <v>CONC-031</v>
      </c>
      <c r="B32">
        <f t="shared" si="1"/>
        <v>8</v>
      </c>
      <c r="C32" t="str">
        <f t="shared" si="2"/>
        <v>agosto</v>
      </c>
      <c r="D32" t="s">
        <v>122</v>
      </c>
      <c r="E32">
        <v>406.03</v>
      </c>
      <c r="F32" s="14">
        <f t="shared" si="3"/>
        <v>1.23E-2</v>
      </c>
      <c r="G32">
        <f t="shared" si="4"/>
        <v>406.03</v>
      </c>
      <c r="H32">
        <f>SUM($E$2:E32)</f>
        <v>21799.02</v>
      </c>
    </row>
    <row r="33" spans="1:8" x14ac:dyDescent="0.3">
      <c r="A33" t="str">
        <f t="shared" si="0"/>
        <v>CONC-032</v>
      </c>
      <c r="B33">
        <f t="shared" si="1"/>
        <v>8</v>
      </c>
      <c r="C33" t="str">
        <f t="shared" si="2"/>
        <v>agosto</v>
      </c>
      <c r="D33" t="s">
        <v>123</v>
      </c>
      <c r="E33">
        <v>164.9</v>
      </c>
      <c r="F33" s="14">
        <f t="shared" si="3"/>
        <v>5.0000000000000001E-3</v>
      </c>
      <c r="G33">
        <f t="shared" si="4"/>
        <v>0</v>
      </c>
      <c r="H33">
        <f>SUM($E$2:E33)</f>
        <v>21963.920000000002</v>
      </c>
    </row>
    <row r="34" spans="1:8" x14ac:dyDescent="0.3">
      <c r="A34" t="str">
        <f t="shared" si="0"/>
        <v>CONC-033</v>
      </c>
      <c r="B34">
        <f t="shared" si="1"/>
        <v>9</v>
      </c>
      <c r="C34" t="str">
        <f t="shared" si="2"/>
        <v>septiembre</v>
      </c>
      <c r="D34" t="s">
        <v>120</v>
      </c>
      <c r="E34">
        <v>1224.3499999999999</v>
      </c>
      <c r="F34" s="14">
        <f t="shared" si="3"/>
        <v>3.6999999999999998E-2</v>
      </c>
      <c r="G34">
        <f t="shared" si="4"/>
        <v>979.48</v>
      </c>
      <c r="H34">
        <f>SUM($E$2:E34)</f>
        <v>23188.27</v>
      </c>
    </row>
    <row r="35" spans="1:8" x14ac:dyDescent="0.3">
      <c r="A35" t="str">
        <f t="shared" si="0"/>
        <v>CONC-034</v>
      </c>
      <c r="B35">
        <f t="shared" si="1"/>
        <v>9</v>
      </c>
      <c r="C35" t="str">
        <f t="shared" si="2"/>
        <v>septiembre</v>
      </c>
      <c r="D35" t="s">
        <v>121</v>
      </c>
      <c r="E35">
        <v>845.12</v>
      </c>
      <c r="F35" s="14">
        <f t="shared" si="3"/>
        <v>2.5499999999999998E-2</v>
      </c>
      <c r="G35">
        <f t="shared" si="4"/>
        <v>760.61</v>
      </c>
      <c r="H35">
        <f>SUM($E$2:E35)</f>
        <v>24033.39</v>
      </c>
    </row>
    <row r="36" spans="1:8" x14ac:dyDescent="0.3">
      <c r="A36" t="str">
        <f t="shared" si="0"/>
        <v>CONC-035</v>
      </c>
      <c r="B36">
        <f t="shared" si="1"/>
        <v>9</v>
      </c>
      <c r="C36" t="str">
        <f t="shared" si="2"/>
        <v>septiembre</v>
      </c>
      <c r="D36" t="s">
        <v>122</v>
      </c>
      <c r="E36">
        <v>416.31</v>
      </c>
      <c r="F36" s="14">
        <f t="shared" si="3"/>
        <v>1.26E-2</v>
      </c>
      <c r="G36">
        <f t="shared" si="4"/>
        <v>416.31</v>
      </c>
      <c r="H36">
        <f>SUM($E$2:E36)</f>
        <v>24449.7</v>
      </c>
    </row>
    <row r="37" spans="1:8" x14ac:dyDescent="0.3">
      <c r="A37" t="str">
        <f t="shared" si="0"/>
        <v>CONC-036</v>
      </c>
      <c r="B37">
        <f t="shared" si="1"/>
        <v>9</v>
      </c>
      <c r="C37" t="str">
        <f t="shared" si="2"/>
        <v>septiembre</v>
      </c>
      <c r="D37" t="s">
        <v>123</v>
      </c>
      <c r="E37">
        <v>197.65</v>
      </c>
      <c r="F37" s="14">
        <f t="shared" si="3"/>
        <v>6.0000000000000001E-3</v>
      </c>
      <c r="G37">
        <f t="shared" si="4"/>
        <v>0</v>
      </c>
      <c r="H37">
        <f>SUM($E$2:E37)</f>
        <v>24647.350000000002</v>
      </c>
    </row>
    <row r="38" spans="1:8" x14ac:dyDescent="0.3">
      <c r="A38" t="str">
        <f t="shared" si="0"/>
        <v>CONC-037</v>
      </c>
      <c r="B38">
        <f t="shared" si="1"/>
        <v>10</v>
      </c>
      <c r="C38" t="str">
        <f t="shared" si="2"/>
        <v>octubre</v>
      </c>
      <c r="D38" t="s">
        <v>120</v>
      </c>
      <c r="E38">
        <v>1415.72</v>
      </c>
      <c r="F38" s="14">
        <f t="shared" si="3"/>
        <v>4.2799999999999998E-2</v>
      </c>
      <c r="G38">
        <f t="shared" si="4"/>
        <v>1132.58</v>
      </c>
      <c r="H38">
        <f>SUM($E$2:E38)</f>
        <v>26063.070000000003</v>
      </c>
    </row>
    <row r="39" spans="1:8" x14ac:dyDescent="0.3">
      <c r="A39" t="str">
        <f t="shared" si="0"/>
        <v>CONC-038</v>
      </c>
      <c r="B39">
        <f t="shared" si="1"/>
        <v>10</v>
      </c>
      <c r="C39" t="str">
        <f t="shared" si="2"/>
        <v>octubre</v>
      </c>
      <c r="D39" t="s">
        <v>121</v>
      </c>
      <c r="E39">
        <v>728.22</v>
      </c>
      <c r="F39" s="14">
        <f t="shared" si="3"/>
        <v>2.1999999999999999E-2</v>
      </c>
      <c r="G39">
        <f t="shared" si="4"/>
        <v>655.4</v>
      </c>
      <c r="H39">
        <f>SUM($E$2:E39)</f>
        <v>26791.290000000005</v>
      </c>
    </row>
    <row r="40" spans="1:8" x14ac:dyDescent="0.3">
      <c r="A40" t="str">
        <f t="shared" si="0"/>
        <v>CONC-039</v>
      </c>
      <c r="B40">
        <f t="shared" si="1"/>
        <v>10</v>
      </c>
      <c r="C40" t="str">
        <f t="shared" si="2"/>
        <v>octubre</v>
      </c>
      <c r="D40" t="s">
        <v>122</v>
      </c>
      <c r="E40">
        <v>405.19</v>
      </c>
      <c r="F40" s="14">
        <f t="shared" si="3"/>
        <v>1.2200000000000001E-2</v>
      </c>
      <c r="G40">
        <f t="shared" si="4"/>
        <v>405.19</v>
      </c>
      <c r="H40">
        <f>SUM($E$2:E40)</f>
        <v>27196.480000000003</v>
      </c>
    </row>
    <row r="41" spans="1:8" x14ac:dyDescent="0.3">
      <c r="A41" t="str">
        <f t="shared" si="0"/>
        <v>CONC-040</v>
      </c>
      <c r="B41">
        <f t="shared" si="1"/>
        <v>10</v>
      </c>
      <c r="C41" t="str">
        <f t="shared" si="2"/>
        <v>octubre</v>
      </c>
      <c r="D41" t="s">
        <v>123</v>
      </c>
      <c r="E41">
        <v>170.24</v>
      </c>
      <c r="F41" s="14">
        <f t="shared" si="3"/>
        <v>5.1000000000000004E-3</v>
      </c>
      <c r="G41">
        <f t="shared" si="4"/>
        <v>0</v>
      </c>
      <c r="H41">
        <f>SUM($E$2:E41)</f>
        <v>27366.720000000005</v>
      </c>
    </row>
    <row r="42" spans="1:8" x14ac:dyDescent="0.3">
      <c r="A42" t="str">
        <f t="shared" si="0"/>
        <v>CONC-041</v>
      </c>
      <c r="B42">
        <f t="shared" si="1"/>
        <v>11</v>
      </c>
      <c r="C42" t="str">
        <f t="shared" si="2"/>
        <v>noviembre</v>
      </c>
      <c r="D42" t="s">
        <v>120</v>
      </c>
      <c r="E42">
        <v>1447.2</v>
      </c>
      <c r="F42" s="14">
        <f t="shared" si="3"/>
        <v>4.3700000000000003E-2</v>
      </c>
      <c r="G42">
        <f t="shared" si="4"/>
        <v>1157.76</v>
      </c>
      <c r="H42">
        <f>SUM($E$2:E42)</f>
        <v>28813.920000000006</v>
      </c>
    </row>
    <row r="43" spans="1:8" x14ac:dyDescent="0.3">
      <c r="A43" t="str">
        <f t="shared" si="0"/>
        <v>CONC-042</v>
      </c>
      <c r="B43">
        <f t="shared" si="1"/>
        <v>11</v>
      </c>
      <c r="C43" t="str">
        <f t="shared" si="2"/>
        <v>noviembre</v>
      </c>
      <c r="D43" t="s">
        <v>121</v>
      </c>
      <c r="E43">
        <v>797.1</v>
      </c>
      <c r="F43" s="14">
        <f t="shared" si="3"/>
        <v>2.41E-2</v>
      </c>
      <c r="G43">
        <f t="shared" si="4"/>
        <v>717.39</v>
      </c>
      <c r="H43">
        <f>SUM($E$2:E43)</f>
        <v>29611.020000000004</v>
      </c>
    </row>
    <row r="44" spans="1:8" x14ac:dyDescent="0.3">
      <c r="A44" t="str">
        <f t="shared" si="0"/>
        <v>CONC-043</v>
      </c>
      <c r="B44">
        <f t="shared" si="1"/>
        <v>11</v>
      </c>
      <c r="C44" t="str">
        <f t="shared" si="2"/>
        <v>noviembre</v>
      </c>
      <c r="D44" t="s">
        <v>122</v>
      </c>
      <c r="E44">
        <v>473.49</v>
      </c>
      <c r="F44" s="14">
        <f t="shared" si="3"/>
        <v>1.43E-2</v>
      </c>
      <c r="G44">
        <f t="shared" si="4"/>
        <v>473.49</v>
      </c>
      <c r="H44">
        <f>SUM($E$2:E44)</f>
        <v>30084.510000000006</v>
      </c>
    </row>
    <row r="45" spans="1:8" x14ac:dyDescent="0.3">
      <c r="A45" t="str">
        <f t="shared" si="0"/>
        <v>CONC-044</v>
      </c>
      <c r="B45">
        <f t="shared" si="1"/>
        <v>11</v>
      </c>
      <c r="C45" t="str">
        <f t="shared" si="2"/>
        <v>noviembre</v>
      </c>
      <c r="D45" t="s">
        <v>123</v>
      </c>
      <c r="E45">
        <v>289.02999999999997</v>
      </c>
      <c r="F45" s="14">
        <f t="shared" si="3"/>
        <v>8.6999999999999994E-3</v>
      </c>
      <c r="G45">
        <f t="shared" si="4"/>
        <v>0</v>
      </c>
      <c r="H45">
        <f>SUM($E$2:E45)</f>
        <v>30373.540000000005</v>
      </c>
    </row>
    <row r="46" spans="1:8" x14ac:dyDescent="0.3">
      <c r="A46" t="str">
        <f t="shared" si="0"/>
        <v>CONC-045</v>
      </c>
      <c r="B46">
        <f t="shared" si="1"/>
        <v>12</v>
      </c>
      <c r="C46" t="str">
        <f t="shared" si="2"/>
        <v>diciembre</v>
      </c>
      <c r="D46" t="s">
        <v>120</v>
      </c>
      <c r="E46">
        <v>1209.4000000000001</v>
      </c>
      <c r="F46" s="14">
        <f t="shared" si="3"/>
        <v>3.6600000000000001E-2</v>
      </c>
      <c r="G46">
        <f t="shared" si="4"/>
        <v>967.52</v>
      </c>
      <c r="H46">
        <f>SUM($E$2:E46)</f>
        <v>31582.940000000006</v>
      </c>
    </row>
    <row r="47" spans="1:8" x14ac:dyDescent="0.3">
      <c r="A47" t="str">
        <f t="shared" si="0"/>
        <v>CONC-046</v>
      </c>
      <c r="B47">
        <f t="shared" si="1"/>
        <v>12</v>
      </c>
      <c r="C47" t="str">
        <f t="shared" si="2"/>
        <v>diciembre</v>
      </c>
      <c r="D47" t="s">
        <v>121</v>
      </c>
      <c r="E47">
        <v>894.27</v>
      </c>
      <c r="F47" s="14">
        <f t="shared" si="3"/>
        <v>2.7E-2</v>
      </c>
      <c r="G47">
        <f t="shared" si="4"/>
        <v>804.84</v>
      </c>
      <c r="H47">
        <f>SUM($E$2:E47)</f>
        <v>32477.210000000006</v>
      </c>
    </row>
    <row r="48" spans="1:8" x14ac:dyDescent="0.3">
      <c r="A48" t="str">
        <f t="shared" si="0"/>
        <v>CONC-047</v>
      </c>
      <c r="B48">
        <f t="shared" si="1"/>
        <v>12</v>
      </c>
      <c r="C48" t="str">
        <f t="shared" si="2"/>
        <v>diciembre</v>
      </c>
      <c r="D48" t="s">
        <v>122</v>
      </c>
      <c r="E48">
        <v>355.17</v>
      </c>
      <c r="F48" s="14">
        <f t="shared" si="3"/>
        <v>1.0699999999999999E-2</v>
      </c>
      <c r="G48">
        <f t="shared" si="4"/>
        <v>355.17</v>
      </c>
      <c r="H48">
        <f>SUM($E$2:E48)</f>
        <v>32832.380000000005</v>
      </c>
    </row>
    <row r="49" spans="1:8" x14ac:dyDescent="0.3">
      <c r="A49" t="str">
        <f t="shared" si="0"/>
        <v>CONC-048</v>
      </c>
      <c r="B49">
        <f t="shared" si="1"/>
        <v>12</v>
      </c>
      <c r="C49" t="str">
        <f t="shared" si="2"/>
        <v>diciembre</v>
      </c>
      <c r="D49" t="s">
        <v>123</v>
      </c>
      <c r="E49">
        <v>253.62</v>
      </c>
      <c r="F49" s="14">
        <f t="shared" si="3"/>
        <v>7.7000000000000002E-3</v>
      </c>
      <c r="G49">
        <f t="shared" si="4"/>
        <v>0</v>
      </c>
      <c r="H49">
        <f>SUM($E$2:E49)</f>
        <v>33086.000000000007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A082-1AD5-4EBE-A927-CA25111BCD6A}">
  <dimension ref="A1:I7"/>
  <sheetViews>
    <sheetView zoomScale="80" zoomScaleNormal="80" workbookViewId="0">
      <selection activeCell="G12" sqref="G12"/>
    </sheetView>
  </sheetViews>
  <sheetFormatPr baseColWidth="10" defaultRowHeight="14.4" x14ac:dyDescent="0.3"/>
  <cols>
    <col min="1" max="1" width="13.88671875" customWidth="1"/>
    <col min="2" max="2" width="14.109375" bestFit="1" customWidth="1"/>
    <col min="3" max="3" width="16.44140625" customWidth="1"/>
    <col min="4" max="4" width="19.33203125" customWidth="1"/>
    <col min="5" max="5" width="15.33203125" customWidth="1"/>
    <col min="6" max="6" width="17.21875" customWidth="1"/>
    <col min="7" max="7" width="18.21875" customWidth="1"/>
    <col min="8" max="8" width="11.77734375" customWidth="1"/>
    <col min="9" max="9" width="12.109375" bestFit="1" customWidth="1"/>
  </cols>
  <sheetData>
    <row r="1" spans="1:9" x14ac:dyDescent="0.3">
      <c r="A1" s="1" t="s">
        <v>125</v>
      </c>
      <c r="B1" s="1" t="s">
        <v>126</v>
      </c>
      <c r="C1" s="1" t="s">
        <v>133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 x14ac:dyDescent="0.3">
      <c r="A2" t="s">
        <v>64</v>
      </c>
      <c r="B2" t="s">
        <v>134</v>
      </c>
      <c r="C2" t="s">
        <v>14</v>
      </c>
      <c r="D2" t="s">
        <v>140</v>
      </c>
      <c r="E2" s="2">
        <v>44635</v>
      </c>
      <c r="F2">
        <f ca="1">COUNTIF(Lotes!$G$2:$G$53,A2)</f>
        <v>8</v>
      </c>
      <c r="G2" s="9">
        <f ca="1">IFERROR(AVERAGEIFS(Mediciones_Pureza!$F$2:$F$261,Mediciones_Pureza!$B$2:$B$261,INDEX(Lotes!$A$2:$A$53,MATCH(A2,Lotes!$G$2:$G$53,0))),"Sin datos")</f>
        <v>98.14</v>
      </c>
      <c r="H2" s="9">
        <f ca="1">AVERAGEIFS(KPIs_Diarios!$G$2:$G$313,KPIs_Diarios!$F$2:$F$313,"TEC",KPIs_Diarios!$E$2:$E$313,INDEX(Lotes!$D$2:$D$53,MATCH(A2,Lotes!$G$2:$G$53,0)))</f>
        <v>2.4775</v>
      </c>
      <c r="I2" t="str">
        <f ca="1">IF(D2="Avanzado", IF(H2&lt;=2,"⭐ Excelente","✅ Bueno"),
    IF(D2="Intermedio",IF(H2&lt;=2.5,"✅ Bueno","⚠️ Regular"),
    IF(H2&lt;=3,"⚠️ Regular","❌ Requiere capacitación")))</f>
        <v>✅ Bueno</v>
      </c>
    </row>
    <row r="3" spans="1:9" x14ac:dyDescent="0.3">
      <c r="A3" t="s">
        <v>65</v>
      </c>
      <c r="B3" t="s">
        <v>135</v>
      </c>
      <c r="C3" t="s">
        <v>15</v>
      </c>
      <c r="D3" t="s">
        <v>141</v>
      </c>
      <c r="E3" s="2">
        <v>44750</v>
      </c>
      <c r="F3">
        <f ca="1">COUNTIF(Lotes!$G$2:$G$53,A3)</f>
        <v>6</v>
      </c>
      <c r="G3" s="9">
        <f ca="1">IFERROR(AVERAGEIFS(Mediciones_Pureza!$F$2:$F$261,Mediciones_Pureza!$B$2:$B$261,INDEX(Lotes!$A$2:$A$53,MATCH(A3,Lotes!$G$2:$G$53,0))),"Sin datos")</f>
        <v>97.914000000000001</v>
      </c>
      <c r="H3" s="9">
        <f ca="1">AVERAGEIFS(KPIs_Diarios!$G$2:$G$313,KPIs_Diarios!$F$2:$F$313,"TEC",KPIs_Diarios!$E$2:$E$313,INDEX(Lotes!$D$2:$D$53,MATCH(A3,Lotes!$G$2:$G$53,0)))</f>
        <v>2.6674999999999995</v>
      </c>
      <c r="I3" t="str">
        <f t="shared" ref="I3:I7" ca="1" si="0">IF(D3="Avanzado", IF(H3&lt;=2,"⭐ Excelente","✅ Bueno"),
    IF(D3="Intermedio",IF(H3&lt;=2.5,"✅ Bueno","⚠️ Regular"),
    IF(H3&lt;=3,"⚠️ Regular","❌ Requiere capacitación")))</f>
        <v>⚠️ Regular</v>
      </c>
    </row>
    <row r="4" spans="1:9" x14ac:dyDescent="0.3">
      <c r="A4" t="s">
        <v>66</v>
      </c>
      <c r="B4" t="s">
        <v>136</v>
      </c>
      <c r="C4" t="s">
        <v>16</v>
      </c>
      <c r="D4" t="s">
        <v>142</v>
      </c>
      <c r="E4" s="2">
        <v>44938</v>
      </c>
      <c r="F4">
        <f ca="1">COUNTIF(Lotes!$G$2:$G$53,A4)</f>
        <v>6</v>
      </c>
      <c r="G4" s="9">
        <f ca="1">IFERROR(AVERAGEIFS(Mediciones_Pureza!$F$2:$F$261,Mediciones_Pureza!$B$2:$B$261,INDEX(Lotes!$A$2:$A$53,MATCH(A4,Lotes!$G$2:$G$53,0))),"Sin datos")</f>
        <v>97.464000000000013</v>
      </c>
      <c r="H4" s="9">
        <f ca="1">AVERAGEIFS(KPIs_Diarios!$G$2:$G$313,KPIs_Diarios!$F$2:$F$313,"TEC",KPIs_Diarios!$E$2:$E$313,INDEX(Lotes!$D$2:$D$53,MATCH(A4,Lotes!$G$2:$G$53,0)))</f>
        <v>2.4</v>
      </c>
      <c r="I4" t="str">
        <f t="shared" ca="1" si="0"/>
        <v>⚠️ Regular</v>
      </c>
    </row>
    <row r="5" spans="1:9" x14ac:dyDescent="0.3">
      <c r="A5" t="s">
        <v>67</v>
      </c>
      <c r="B5" t="s">
        <v>137</v>
      </c>
      <c r="C5" t="s">
        <v>14</v>
      </c>
      <c r="D5" t="s">
        <v>141</v>
      </c>
      <c r="E5" s="2">
        <v>45036</v>
      </c>
      <c r="F5">
        <f ca="1">COUNTIF(Lotes!$G$2:$G$53,A5)</f>
        <v>12</v>
      </c>
      <c r="G5" s="9">
        <f ca="1">IFERROR(AVERAGEIFS(Mediciones_Pureza!$F$2:$F$261,Mediciones_Pureza!$B$2:$B$261,INDEX(Lotes!$A$2:$A$53,MATCH(A5,Lotes!$G$2:$G$53,0))),"Sin datos")</f>
        <v>98.913999999999987</v>
      </c>
      <c r="H5" s="9">
        <f ca="1">AVERAGEIFS(KPIs_Diarios!$G$2:$G$313,KPIs_Diarios!$F$2:$F$313,"TEC",KPIs_Diarios!$E$2:$E$313,INDEX(Lotes!$D$2:$D$53,MATCH(A5,Lotes!$G$2:$G$53,0)))</f>
        <v>2.4</v>
      </c>
      <c r="I5" t="str">
        <f t="shared" ca="1" si="0"/>
        <v>✅ Bueno</v>
      </c>
    </row>
    <row r="6" spans="1:9" x14ac:dyDescent="0.3">
      <c r="A6" t="s">
        <v>68</v>
      </c>
      <c r="B6" t="s">
        <v>138</v>
      </c>
      <c r="C6" t="s">
        <v>15</v>
      </c>
      <c r="D6" t="s">
        <v>140</v>
      </c>
      <c r="E6" s="2">
        <v>45174</v>
      </c>
      <c r="F6">
        <f ca="1">COUNTIF(Lotes!$G$2:$G$53,A6)</f>
        <v>9</v>
      </c>
      <c r="G6" s="9">
        <f ca="1">IFERROR(AVERAGEIFS(Mediciones_Pureza!$F$2:$F$261,Mediciones_Pureza!$B$2:$B$261,INDEX(Lotes!$A$2:$A$53,MATCH(A6,Lotes!$G$2:$G$53,0))),"Sin datos")</f>
        <v>98.102000000000004</v>
      </c>
      <c r="H6" s="9">
        <f ca="1">AVERAGEIFS(KPIs_Diarios!$G$2:$G$313,KPIs_Diarios!$F$2:$F$313,"TEC",KPIs_Diarios!$E$2:$E$313,INDEX(Lotes!$D$2:$D$53,MATCH(A6,Lotes!$G$2:$G$53,0)))</f>
        <v>2.6674999999999995</v>
      </c>
      <c r="I6" t="str">
        <f t="shared" ca="1" si="0"/>
        <v>✅ Bueno</v>
      </c>
    </row>
    <row r="7" spans="1:9" x14ac:dyDescent="0.3">
      <c r="A7" t="s">
        <v>69</v>
      </c>
      <c r="B7" t="s">
        <v>139</v>
      </c>
      <c r="C7" t="s">
        <v>16</v>
      </c>
      <c r="D7" t="s">
        <v>142</v>
      </c>
      <c r="E7" s="2">
        <v>45248</v>
      </c>
      <c r="F7">
        <f ca="1">COUNTIF(Lotes!$G$2:$G$53,A7)</f>
        <v>11</v>
      </c>
      <c r="G7" s="9">
        <f ca="1">IFERROR(AVERAGEIFS(Mediciones_Pureza!$F$2:$F$261,Mediciones_Pureza!$B$2:$B$261,INDEX(Lotes!$A$2:$A$53,MATCH(A7,Lotes!$G$2:$G$53,0))),"Sin datos")</f>
        <v>98.602000000000004</v>
      </c>
      <c r="H7" s="9">
        <f ca="1">AVERAGEIFS(KPIs_Diarios!$G$2:$G$313,KPIs_Diarios!$F$2:$F$313,"TEC",KPIs_Diarios!$E$2:$E$313,INDEX(Lotes!$D$2:$D$53,MATCH(A7,Lotes!$G$2:$G$53,0)))</f>
        <v>2.4</v>
      </c>
      <c r="I7" t="str">
        <f t="shared" ca="1" si="0"/>
        <v>⚠️ Regular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8D38-B235-4A3E-B354-D6751DAD139F}">
  <dimension ref="B1:K36"/>
  <sheetViews>
    <sheetView zoomScale="65" workbookViewId="0">
      <selection activeCell="E8" sqref="E8"/>
    </sheetView>
  </sheetViews>
  <sheetFormatPr baseColWidth="10" defaultRowHeight="14.4" x14ac:dyDescent="0.3"/>
  <cols>
    <col min="2" max="2" width="11.6640625" customWidth="1"/>
    <col min="5" max="5" width="12.5546875" customWidth="1"/>
    <col min="11" max="11" width="12.44140625" bestFit="1" customWidth="1"/>
  </cols>
  <sheetData>
    <row r="1" spans="2:11" ht="18" x14ac:dyDescent="0.35">
      <c r="B1" s="22" t="s">
        <v>143</v>
      </c>
      <c r="C1" s="22"/>
      <c r="D1" s="22"/>
      <c r="E1" s="22"/>
      <c r="F1" s="22"/>
      <c r="G1" s="22"/>
      <c r="H1" s="22"/>
    </row>
    <row r="2" spans="2:11" x14ac:dyDescent="0.3">
      <c r="B2" s="23" t="str">
        <f ca="1">"Reporte generado: "&amp;TEXT(TODAY(),"dd/mm/aaaa")</f>
        <v>Reporte generado: 16/03/2026</v>
      </c>
      <c r="C2" s="23"/>
      <c r="D2" s="23"/>
      <c r="E2" s="23"/>
      <c r="F2" s="23" t="str">
        <f>IF(COUNTIF(Resumen!E8:E13,"🔴 ALERTA")&gt;2,"🔴 SISTEMA EN ALERTA",IF(COUNTIF(Resumen!E8:E13,"🔴 ALERTA")&gt;0,"🟡 REQUIERE ATENCIÓN","🟢 SISTEMA ESTABLE"))</f>
        <v>🟢 SISTEMA ESTABLE</v>
      </c>
      <c r="G2" s="23"/>
      <c r="H2" s="23"/>
    </row>
    <row r="5" spans="2:11" x14ac:dyDescent="0.3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105</v>
      </c>
    </row>
    <row r="7" spans="2:11" x14ac:dyDescent="0.3">
      <c r="K7" s="1"/>
    </row>
    <row r="8" spans="2:11" ht="43.2" x14ac:dyDescent="0.3">
      <c r="B8" s="5" t="s">
        <v>148</v>
      </c>
      <c r="C8" s="16">
        <f>ROUND(AVERAGEIF(KPIs_Diarios!$F$2:$F$313,"IPL",KPIs_Diarios!$G$2:$G$313),2)</f>
        <v>97.53</v>
      </c>
      <c r="D8" s="17">
        <v>0.96</v>
      </c>
      <c r="E8" s="7" t="str">
        <f>IF(C8&lt;96,"ALERTA",IF(C8&lt;96*1.05,"PRECAUCIÓN","OK"))</f>
        <v>PRECAUCIÓN</v>
      </c>
      <c r="F8" s="15" t="s">
        <v>154</v>
      </c>
    </row>
    <row r="9" spans="2:11" ht="57.6" x14ac:dyDescent="0.3">
      <c r="B9" s="5" t="s">
        <v>149</v>
      </c>
      <c r="C9" s="16">
        <f>ROUND(AVERAGEIF(KPIs_Diarios!$F$2:$F$313,"RS",KPIs_Diarios!$G$2:$G$313),2)</f>
        <v>72.290000000000006</v>
      </c>
      <c r="D9" s="17">
        <v>0.7</v>
      </c>
      <c r="E9" s="7" t="str">
        <f>IF(C9&lt;70,"ALERTA",IF(C9&lt;70*1.05,"PRECAUCIÓN","OK"))</f>
        <v>PRECAUCIÓN</v>
      </c>
      <c r="F9" s="15" t="s">
        <v>155</v>
      </c>
    </row>
    <row r="10" spans="2:11" ht="57.6" x14ac:dyDescent="0.3">
      <c r="B10" s="5" t="s">
        <v>150</v>
      </c>
      <c r="C10" s="16">
        <f>ROUND(AVERAGEIF(KPIs_Diarios!$F$2:$F$313,"VH",KPIs_Diarios!$G$2:$G$313),2)</f>
        <v>6.24</v>
      </c>
      <c r="D10" s="17">
        <v>0.08</v>
      </c>
      <c r="E10" s="7" t="str">
        <f>IF(C10&gt;8,"ALERTA",IF(C10&gt;8*0.85,"PRECAUCIÓN","OK"))</f>
        <v>OK</v>
      </c>
      <c r="F10" s="15" t="s">
        <v>156</v>
      </c>
    </row>
    <row r="11" spans="2:11" ht="28.8" x14ac:dyDescent="0.3">
      <c r="B11" s="5" t="s">
        <v>151</v>
      </c>
      <c r="C11" s="16">
        <f>ROUND(AVERAGEIF(KPIs_Diarios!$F$2:$F$313,"TR",KPIs_Diarios!$G$2:$G$313),2)</f>
        <v>0.78</v>
      </c>
      <c r="D11" s="17">
        <v>0.01</v>
      </c>
      <c r="E11" s="7" t="str">
        <f>IF(C11&gt;1,"ALERTA",IF(C11&gt;1*0.85,"PRECAUCIÓN","OK"))</f>
        <v>OK</v>
      </c>
      <c r="F11" s="15" t="s">
        <v>157</v>
      </c>
    </row>
    <row r="12" spans="2:11" ht="72" customHeight="1" x14ac:dyDescent="0.3">
      <c r="B12" s="5" t="s">
        <v>152</v>
      </c>
      <c r="C12" s="16">
        <f>ROUND(AVERAGEIF(KPIs_Diarios!$F$2:$F$313,"TEC",KPIs_Diarios!$G$2:$G$313),2)</f>
        <v>2.4700000000000002</v>
      </c>
      <c r="D12" s="17">
        <v>0.03</v>
      </c>
      <c r="E12" s="7" t="str">
        <f>IF(C12&gt;3,"ALERTA",IF(C12&gt;3*0.85,"PRECAUCIÓN","OK"))</f>
        <v>OK</v>
      </c>
      <c r="F12" s="15" t="s">
        <v>158</v>
      </c>
    </row>
    <row r="13" spans="2:11" ht="28.8" x14ac:dyDescent="0.3">
      <c r="B13" s="5" t="s">
        <v>153</v>
      </c>
      <c r="C13" s="16">
        <f>ROUND(AVERAGEIF(KPIs_Diarios!$F$2:$F$313,"Cpk_Mensual",KPIs_Diarios!$G$2:$G$313),2)</f>
        <v>0.9</v>
      </c>
      <c r="D13" s="17">
        <v>0.01</v>
      </c>
      <c r="E13" s="7" t="str">
        <f>IF(C13&lt;1,"ALERTA",IF(C13&lt;1.33,"PRECAUCIÓN","OK"))</f>
        <v>ALERTA</v>
      </c>
      <c r="F13" s="15" t="s">
        <v>159</v>
      </c>
    </row>
    <row r="16" spans="2:11" x14ac:dyDescent="0.3">
      <c r="B16" s="24" t="s">
        <v>160</v>
      </c>
      <c r="C16" s="24"/>
      <c r="D16" s="24"/>
      <c r="E16" s="24"/>
      <c r="F16" s="24"/>
      <c r="G16" s="24"/>
      <c r="H16" s="24"/>
    </row>
    <row r="17" spans="2:8" ht="28.8" x14ac:dyDescent="0.3">
      <c r="B17" s="5" t="s">
        <v>161</v>
      </c>
      <c r="C17" s="18">
        <f>ROUND(AVERAGE(Mediciones_Pureza!$F$2:$F$261),2)</f>
        <v>98.23</v>
      </c>
    </row>
    <row r="18" spans="2:8" ht="28.8" x14ac:dyDescent="0.3">
      <c r="B18" s="5" t="s">
        <v>162</v>
      </c>
      <c r="C18" s="18">
        <f>ROUND(_xlfn.STDEV.P(Mediciones_Pureza!$F$2:$F$261),4)</f>
        <v>0.76729999999999998</v>
      </c>
    </row>
    <row r="19" spans="2:8" x14ac:dyDescent="0.3">
      <c r="B19" s="5" t="s">
        <v>163</v>
      </c>
      <c r="C19" s="18">
        <f>ROUND((100-96)/(6*C18),2)</f>
        <v>0.87</v>
      </c>
    </row>
    <row r="20" spans="2:8" x14ac:dyDescent="0.3">
      <c r="B20" s="5" t="s">
        <v>164</v>
      </c>
      <c r="C20" s="16">
        <f>ROUND(MIN((100-C17)/(3*C18),(C17-96)/(3*C18)),2)</f>
        <v>0.77</v>
      </c>
    </row>
    <row r="21" spans="2:8" ht="43.2" x14ac:dyDescent="0.3">
      <c r="B21" s="5" t="s">
        <v>73</v>
      </c>
      <c r="C21" s="18" t="str">
        <f>IF(C20&gt;=1.33,"CAPAZ",IF(C20&gt;=1,"MARGINAL",IF(C20&gt;=0.67,"NO CAPAZ — Requiere mejora","CRÍTICO")))</f>
        <v>NO CAPAZ — Requiere mejora</v>
      </c>
    </row>
    <row r="22" spans="2:8" ht="43.2" x14ac:dyDescent="0.3">
      <c r="B22" s="5" t="s">
        <v>165</v>
      </c>
      <c r="C22" s="16">
        <f>COUNTA(Mediciones_Pureza!$B$2:$B$261)</f>
        <v>260</v>
      </c>
    </row>
    <row r="23" spans="2:8" x14ac:dyDescent="0.3">
      <c r="B23" s="5" t="s">
        <v>166</v>
      </c>
      <c r="C23" s="16">
        <f>COUNTIF(Mediciones_Pureza!$J$2:$J$261,"❌*")</f>
        <v>0</v>
      </c>
    </row>
    <row r="24" spans="2:8" ht="28.8" x14ac:dyDescent="0.3">
      <c r="B24" s="5" t="s">
        <v>167</v>
      </c>
      <c r="C24" s="19">
        <f>ROUND(C23/C22,4)</f>
        <v>0</v>
      </c>
    </row>
    <row r="27" spans="2:8" x14ac:dyDescent="0.3">
      <c r="B27" s="24" t="s">
        <v>168</v>
      </c>
      <c r="C27" s="24"/>
      <c r="D27" s="24"/>
      <c r="E27" s="24"/>
      <c r="F27" s="24"/>
      <c r="G27" s="24"/>
      <c r="H27" s="24"/>
    </row>
    <row r="28" spans="2:8" ht="28.8" x14ac:dyDescent="0.3">
      <c r="B28" s="5" t="s">
        <v>169</v>
      </c>
      <c r="C28" s="18">
        <f>SUM(Costos_CONC!$E$2:$E$49)</f>
        <v>33086.000000000007</v>
      </c>
    </row>
    <row r="29" spans="2:8" ht="28.8" x14ac:dyDescent="0.3">
      <c r="B29" s="5" t="s">
        <v>170</v>
      </c>
      <c r="C29" s="18">
        <f>SUMIF(Costos_CONC!$D$2:$D$49,"Falla Interna",Costos_CONC!$E$2:$E$49)</f>
        <v>15504.599999999999</v>
      </c>
    </row>
    <row r="30" spans="2:8" ht="28.8" x14ac:dyDescent="0.3">
      <c r="B30" s="5" t="s">
        <v>171</v>
      </c>
      <c r="C30" s="18">
        <f>SUMIF(Costos_CONC!$D$2:$D$49,"Falla Externa",Costos_CONC!$E$2:$E$49)</f>
        <v>10087.890000000001</v>
      </c>
    </row>
    <row r="31" spans="2:8" x14ac:dyDescent="0.3">
      <c r="B31" s="5" t="s">
        <v>122</v>
      </c>
      <c r="C31" s="18">
        <f>SUMIF(Costos_CONC!$D$2:$D$49,"Inspección",Costos_CONC!$E$2:$E$49)</f>
        <v>4942.5599999999995</v>
      </c>
    </row>
    <row r="32" spans="2:8" x14ac:dyDescent="0.3">
      <c r="B32" s="5" t="s">
        <v>123</v>
      </c>
      <c r="C32" s="18">
        <f>SUMIF(Costos_CONC!$D$2:$D$49,"Prevención",Costos_CONC!$E$2:$E$49)</f>
        <v>2550.9500000000003</v>
      </c>
    </row>
    <row r="33" spans="2:3" ht="43.2" x14ac:dyDescent="0.3">
      <c r="B33" s="5" t="s">
        <v>172</v>
      </c>
      <c r="C33" s="18">
        <f>SUM(Costos_CONC!$G$2:$G$49)</f>
        <v>26425.359999999997</v>
      </c>
    </row>
    <row r="34" spans="2:3" ht="28.8" x14ac:dyDescent="0.3">
      <c r="B34" s="5" t="s">
        <v>173</v>
      </c>
      <c r="C34" s="18">
        <f>15000</f>
        <v>15000</v>
      </c>
    </row>
    <row r="35" spans="2:3" ht="28.8" x14ac:dyDescent="0.3">
      <c r="B35" s="5" t="s">
        <v>124</v>
      </c>
      <c r="C35" s="20">
        <f>ROUND((C33-C34)/C34,4)</f>
        <v>0.76170000000000004</v>
      </c>
    </row>
    <row r="36" spans="2:3" ht="43.2" x14ac:dyDescent="0.3">
      <c r="B36" s="5" t="s">
        <v>174</v>
      </c>
      <c r="C36" s="18" t="str">
        <f>IF(C35&gt;0.5,"VIABLE — ROI mayor al 50%",IF(C35&gt;0,"MARGINAL — ROI positivo pero bajo","NO VIABLE"))</f>
        <v>VIABLE — ROI mayor al 50%</v>
      </c>
    </row>
  </sheetData>
  <mergeCells count="5">
    <mergeCell ref="B1:H1"/>
    <mergeCell ref="B2:E2"/>
    <mergeCell ref="F2:H2"/>
    <mergeCell ref="B16:H16"/>
    <mergeCell ref="B27:H27"/>
  </mergeCells>
  <conditionalFormatting sqref="E8">
    <cfRule type="containsText" dxfId="9" priority="10" operator="containsText" text="&quot;OK&quot;">
      <formula>NOT(ISERROR(SEARCH("""OK""",E8)))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949FE8D-F9AC-457F-AECE-D2B6AAD6CA38}">
            <xm:f>NOT(ISERROR(SEARCH($K$16,K17)))</xm:f>
            <xm:f>$K$16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A329C4EB-84E0-4DED-8859-E54F5565344B}">
            <xm:f>NOT(ISERROR(SEARCH($K$15,K17)))</xm:f>
            <xm:f>$K$15</xm:f>
            <x14:dxf>
              <fill>
                <patternFill>
                  <bgColor rgb="FF92D050"/>
                </patternFill>
              </fill>
            </x14:dxf>
          </x14:cfRule>
          <x14:cfRule type="containsText" priority="3" operator="containsText" id="{4DCD8880-6360-44D0-A805-A206E162FFDE}">
            <xm:f>NOT(ISERROR(SEARCH($K$14,K17)))</xm:f>
            <xm:f>$K$14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1B4570E3-0B61-4181-A10A-041EA15D433A}">
            <xm:f>NOT(ISERROR(SEARCH($K$13,K17)))</xm:f>
            <xm:f>$K$13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5" operator="containsText" id="{32E1323D-B814-47DD-8C08-A36859B759ED}">
            <xm:f>NOT(ISERROR(SEARCH($K$12,K17)))</xm:f>
            <xm:f>$K$12</xm:f>
            <x14:dxf>
              <fill>
                <patternFill>
                  <bgColor rgb="FFFFFF00"/>
                </patternFill>
              </fill>
            </x14:dxf>
          </x14:cfRule>
          <x14:cfRule type="containsText" priority="6" operator="containsText" id="{CD8061B5-EC5D-48BF-9141-A590F6AF574F}">
            <xm:f>NOT(ISERROR(SEARCH($K$11,K17)))</xm:f>
            <xm:f>$K$11</xm:f>
            <x14:dxf>
              <fill>
                <patternFill>
                  <bgColor rgb="FF92D050"/>
                </patternFill>
              </fill>
            </x14:dxf>
          </x14:cfRule>
          <x14:cfRule type="containsText" priority="7" operator="containsText" id="{3C0A3149-E3B5-49D1-BE68-5762DD3F80A6}">
            <xm:f>NOT(ISERROR(SEARCH($K$10,K17)))</xm:f>
            <xm:f>$K$10</xm:f>
            <x14:dxf>
              <fill>
                <patternFill>
                  <bgColor rgb="FFFF0000"/>
                </patternFill>
              </fill>
            </x14:dxf>
          </x14:cfRule>
          <x14:cfRule type="containsText" priority="8" operator="containsText" id="{92E70B29-EE1D-4C3F-A2EC-ABD6D3101ADE}">
            <xm:f>NOT(ISERROR(SEARCH($K$9,K17)))</xm:f>
            <xm:f>$K$9</xm:f>
            <x14:dxf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DCE7C5E9-8A18-44D0-8C2C-C8AA8A007B7F}">
            <xm:f>NOT(ISERROR(SEARCH($K$8,K17)))</xm:f>
            <xm:f>$K$8</xm:f>
            <x14:dxf>
              <fill>
                <patternFill>
                  <bgColor rgb="FF92D050"/>
                </patternFill>
              </fill>
            </x14:dxf>
          </x14:cfRule>
          <xm:sqref>K17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Lotes</vt:lpstr>
      <vt:lpstr>Mediciones_Pureza</vt:lpstr>
      <vt:lpstr>Peso_Pacas</vt:lpstr>
      <vt:lpstr>KPIs_Diarios</vt:lpstr>
      <vt:lpstr>Costos_CONC</vt:lpstr>
      <vt:lpstr>Operadores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2026-03-07T03:06:19Z</dcterms:created>
  <dcterms:modified xsi:type="dcterms:W3CDTF">2026-03-16T23:44:06Z</dcterms:modified>
</cp:coreProperties>
</file>